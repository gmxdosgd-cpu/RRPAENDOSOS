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ipath\RIBU22GMX02_EmitPolizaCasaHabNovomar\Catalogos\"/>
    </mc:Choice>
  </mc:AlternateContent>
  <xr:revisionPtr revIDLastSave="0" documentId="13_ncr:1_{7E4DC492-FA6E-41DD-A76F-93661961F5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ody of water (Yes)" sheetId="1" r:id="rId1"/>
    <sheet name="Body of Water (No)" sheetId="5" r:id="rId2"/>
    <sheet name="Derechos de Póliza" sheetId="7" r:id="rId3"/>
    <sheet name="Codigos Postales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" i="5" l="1"/>
  <c r="P3" i="5"/>
  <c r="L3" i="5" s="1"/>
  <c r="P4" i="5"/>
  <c r="L4" i="5" s="1"/>
  <c r="L5" i="5"/>
  <c r="L7" i="5"/>
  <c r="P8" i="5"/>
  <c r="L8" i="5" s="1"/>
  <c r="P9" i="5"/>
  <c r="L9" i="5" s="1"/>
  <c r="L10" i="5"/>
  <c r="P12" i="5"/>
  <c r="L12" i="5" s="1"/>
  <c r="P13" i="5"/>
  <c r="F13" i="5" s="1"/>
  <c r="P14" i="5"/>
  <c r="L14" i="5" s="1"/>
  <c r="P15" i="5"/>
  <c r="J15" i="5" s="1"/>
  <c r="L15" i="5"/>
  <c r="P16" i="5"/>
  <c r="L16" i="5" s="1"/>
  <c r="P17" i="5"/>
  <c r="F17" i="5" s="1"/>
  <c r="L17" i="5"/>
  <c r="L19" i="5"/>
  <c r="P20" i="5"/>
  <c r="L20" i="5"/>
  <c r="P21" i="5"/>
  <c r="L21" i="5" s="1"/>
  <c r="L23" i="5"/>
  <c r="L24" i="5"/>
  <c r="L25" i="5"/>
  <c r="L27" i="5"/>
  <c r="L29" i="5"/>
  <c r="L32" i="5"/>
  <c r="L33" i="5"/>
  <c r="L34" i="5"/>
  <c r="L35" i="5"/>
  <c r="L37" i="5"/>
  <c r="L38" i="5"/>
  <c r="J2" i="5"/>
  <c r="J3" i="5"/>
  <c r="J4" i="5"/>
  <c r="J5" i="5"/>
  <c r="J7" i="5"/>
  <c r="J9" i="5"/>
  <c r="J10" i="5"/>
  <c r="J12" i="5"/>
  <c r="J13" i="5"/>
  <c r="J14" i="5"/>
  <c r="J16" i="5"/>
  <c r="J17" i="5"/>
  <c r="J19" i="5"/>
  <c r="J20" i="5"/>
  <c r="J23" i="5"/>
  <c r="J24" i="5"/>
  <c r="J25" i="5"/>
  <c r="J27" i="5"/>
  <c r="J29" i="5"/>
  <c r="J32" i="5"/>
  <c r="J33" i="5"/>
  <c r="J34" i="5"/>
  <c r="J35" i="5"/>
  <c r="J37" i="5"/>
  <c r="J38" i="5"/>
  <c r="H2" i="5"/>
  <c r="H3" i="5"/>
  <c r="H4" i="5"/>
  <c r="H5" i="5"/>
  <c r="H7" i="5"/>
  <c r="H8" i="5"/>
  <c r="H9" i="5"/>
  <c r="H10" i="5"/>
  <c r="H12" i="5"/>
  <c r="H13" i="5"/>
  <c r="H14" i="5"/>
  <c r="H16" i="5"/>
  <c r="H17" i="5"/>
  <c r="H19" i="5"/>
  <c r="H20" i="5"/>
  <c r="H23" i="5"/>
  <c r="H24" i="5"/>
  <c r="H25" i="5"/>
  <c r="H27" i="5"/>
  <c r="H29" i="5"/>
  <c r="H32" i="5"/>
  <c r="H33" i="5"/>
  <c r="H34" i="5"/>
  <c r="H35" i="5"/>
  <c r="H37" i="5"/>
  <c r="H38" i="5"/>
  <c r="F2" i="5"/>
  <c r="F3" i="5"/>
  <c r="F4" i="5"/>
  <c r="F5" i="5"/>
  <c r="F7" i="5"/>
  <c r="F9" i="5"/>
  <c r="F10" i="5"/>
  <c r="F12" i="5"/>
  <c r="F14" i="5"/>
  <c r="F15" i="5"/>
  <c r="F16" i="5"/>
  <c r="F19" i="5"/>
  <c r="F20" i="5"/>
  <c r="F21" i="5"/>
  <c r="F23" i="5"/>
  <c r="F24" i="5"/>
  <c r="F25" i="5"/>
  <c r="F27" i="5"/>
  <c r="F29" i="5"/>
  <c r="F32" i="5"/>
  <c r="F33" i="5"/>
  <c r="F34" i="5"/>
  <c r="F35" i="5"/>
  <c r="F37" i="5"/>
  <c r="F38" i="5"/>
  <c r="D2" i="5"/>
  <c r="D3" i="5"/>
  <c r="D5" i="5"/>
  <c r="D7" i="5"/>
  <c r="D9" i="5"/>
  <c r="D10" i="5"/>
  <c r="D12" i="5"/>
  <c r="D14" i="5"/>
  <c r="D15" i="5"/>
  <c r="D16" i="5"/>
  <c r="D19" i="5"/>
  <c r="D20" i="5"/>
  <c r="D23" i="5"/>
  <c r="D24" i="5"/>
  <c r="D25" i="5"/>
  <c r="D27" i="5"/>
  <c r="D29" i="5"/>
  <c r="D32" i="5"/>
  <c r="D33" i="5"/>
  <c r="D34" i="5"/>
  <c r="D35" i="5"/>
  <c r="D37" i="5"/>
  <c r="D38" i="5"/>
  <c r="L2" i="1"/>
  <c r="P3" i="1"/>
  <c r="L3" i="1"/>
  <c r="P4" i="1"/>
  <c r="L4" i="1"/>
  <c r="L5" i="1"/>
  <c r="L7" i="1"/>
  <c r="P8" i="1"/>
  <c r="L8" i="1"/>
  <c r="P9" i="1"/>
  <c r="L9" i="1"/>
  <c r="L10" i="1"/>
  <c r="P12" i="1"/>
  <c r="L12" i="1"/>
  <c r="P13" i="1"/>
  <c r="L13" i="1"/>
  <c r="P14" i="1"/>
  <c r="L14" i="1"/>
  <c r="P15" i="1"/>
  <c r="L15" i="1"/>
  <c r="P16" i="1"/>
  <c r="L16" i="1"/>
  <c r="P17" i="1"/>
  <c r="L17" i="1"/>
  <c r="L19" i="1"/>
  <c r="P20" i="1"/>
  <c r="L20" i="1"/>
  <c r="P21" i="1"/>
  <c r="L21" i="1"/>
  <c r="L23" i="1"/>
  <c r="L24" i="1"/>
  <c r="L25" i="1"/>
  <c r="L42" i="1" s="1"/>
  <c r="L27" i="1"/>
  <c r="L29" i="1"/>
  <c r="L32" i="1"/>
  <c r="L33" i="1"/>
  <c r="L34" i="1"/>
  <c r="L35" i="1"/>
  <c r="L37" i="1"/>
  <c r="L38" i="1"/>
  <c r="J2" i="1"/>
  <c r="J3" i="1"/>
  <c r="J4" i="1"/>
  <c r="J5" i="1"/>
  <c r="J7" i="1"/>
  <c r="J8" i="1"/>
  <c r="J9" i="1"/>
  <c r="J10" i="1"/>
  <c r="J12" i="1"/>
  <c r="J13" i="1"/>
  <c r="J14" i="1"/>
  <c r="J15" i="1"/>
  <c r="J16" i="1"/>
  <c r="J17" i="1"/>
  <c r="J19" i="1"/>
  <c r="J20" i="1"/>
  <c r="J21" i="1"/>
  <c r="J23" i="1"/>
  <c r="J24" i="1"/>
  <c r="J25" i="1"/>
  <c r="J27" i="1"/>
  <c r="J29" i="1"/>
  <c r="J32" i="1"/>
  <c r="J33" i="1"/>
  <c r="J34" i="1"/>
  <c r="J35" i="1"/>
  <c r="J37" i="1"/>
  <c r="J38" i="1"/>
  <c r="J42" i="1"/>
  <c r="H2" i="1"/>
  <c r="H3" i="1"/>
  <c r="H4" i="1"/>
  <c r="H5" i="1"/>
  <c r="H7" i="1"/>
  <c r="H8" i="1"/>
  <c r="H9" i="1"/>
  <c r="H10" i="1"/>
  <c r="H12" i="1"/>
  <c r="H13" i="1"/>
  <c r="H14" i="1"/>
  <c r="H15" i="1"/>
  <c r="H16" i="1"/>
  <c r="H17" i="1"/>
  <c r="H19" i="1"/>
  <c r="H20" i="1"/>
  <c r="H21" i="1"/>
  <c r="H23" i="1"/>
  <c r="H24" i="1"/>
  <c r="H25" i="1"/>
  <c r="H42" i="1" s="1"/>
  <c r="H27" i="1"/>
  <c r="H29" i="1"/>
  <c r="H32" i="1"/>
  <c r="H33" i="1"/>
  <c r="H34" i="1"/>
  <c r="H35" i="1"/>
  <c r="H37" i="1"/>
  <c r="H38" i="1"/>
  <c r="F2" i="1"/>
  <c r="F3" i="1"/>
  <c r="F4" i="1"/>
  <c r="F5" i="1"/>
  <c r="F7" i="1"/>
  <c r="F8" i="1"/>
  <c r="F9" i="1"/>
  <c r="F10" i="1"/>
  <c r="F12" i="1"/>
  <c r="F13" i="1"/>
  <c r="F14" i="1"/>
  <c r="F15" i="1"/>
  <c r="F16" i="1"/>
  <c r="F17" i="1"/>
  <c r="F19" i="1"/>
  <c r="F20" i="1"/>
  <c r="F21" i="1"/>
  <c r="F23" i="1"/>
  <c r="F24" i="1"/>
  <c r="F25" i="1"/>
  <c r="F27" i="1"/>
  <c r="F29" i="1"/>
  <c r="F32" i="1"/>
  <c r="F33" i="1"/>
  <c r="F34" i="1"/>
  <c r="F35" i="1"/>
  <c r="F37" i="1"/>
  <c r="F38" i="1"/>
  <c r="F42" i="1"/>
  <c r="D2" i="1"/>
  <c r="D3" i="1"/>
  <c r="D4" i="1"/>
  <c r="D5" i="1"/>
  <c r="D7" i="1"/>
  <c r="D8" i="1"/>
  <c r="D9" i="1"/>
  <c r="D10" i="1"/>
  <c r="D12" i="1"/>
  <c r="D13" i="1"/>
  <c r="D14" i="1"/>
  <c r="D15" i="1"/>
  <c r="D16" i="1"/>
  <c r="D17" i="1"/>
  <c r="D19" i="1"/>
  <c r="D20" i="1"/>
  <c r="D21" i="1"/>
  <c r="D23" i="1"/>
  <c r="D24" i="1"/>
  <c r="D25" i="1"/>
  <c r="D27" i="1"/>
  <c r="D29" i="1"/>
  <c r="D32" i="1"/>
  <c r="D33" i="1"/>
  <c r="D34" i="1"/>
  <c r="D35" i="1"/>
  <c r="D37" i="1"/>
  <c r="D38" i="1"/>
  <c r="M7" i="5"/>
  <c r="M31" i="5" s="1"/>
  <c r="M17" i="5"/>
  <c r="M16" i="5"/>
  <c r="M15" i="5"/>
  <c r="M14" i="5"/>
  <c r="M13" i="5"/>
  <c r="M12" i="5"/>
  <c r="M8" i="5"/>
  <c r="M9" i="5" s="1"/>
  <c r="M5" i="5"/>
  <c r="M4" i="5"/>
  <c r="M3" i="5"/>
  <c r="J44" i="1"/>
  <c r="J45" i="1"/>
  <c r="V3" i="1" s="1"/>
  <c r="M7" i="1"/>
  <c r="M31" i="1"/>
  <c r="M33" i="1"/>
  <c r="M32" i="1"/>
  <c r="M27" i="1"/>
  <c r="M29" i="1"/>
  <c r="M8" i="1"/>
  <c r="M4" i="1"/>
  <c r="M3" i="1"/>
  <c r="M5" i="1"/>
  <c r="M19" i="1"/>
  <c r="M21" i="1"/>
  <c r="M20" i="1"/>
  <c r="M16" i="1"/>
  <c r="M17" i="1"/>
  <c r="M15" i="1"/>
  <c r="M13" i="1"/>
  <c r="M14" i="1"/>
  <c r="M12" i="1"/>
  <c r="M9" i="1"/>
  <c r="D42" i="1" l="1"/>
  <c r="D44" i="1"/>
  <c r="D45" i="1" s="1"/>
  <c r="S3" i="1" s="1"/>
  <c r="L44" i="1"/>
  <c r="L45" i="1"/>
  <c r="W3" i="1" s="1"/>
  <c r="H44" i="1"/>
  <c r="H45" i="1" s="1"/>
  <c r="U3" i="1" s="1"/>
  <c r="F44" i="1"/>
  <c r="F45" i="1" s="1"/>
  <c r="T3" i="1" s="1"/>
  <c r="M29" i="5"/>
  <c r="M19" i="5"/>
  <c r="M27" i="5"/>
  <c r="L13" i="5"/>
  <c r="L42" i="5" s="1"/>
  <c r="M33" i="5"/>
  <c r="M32" i="5"/>
  <c r="D4" i="5"/>
  <c r="D17" i="5"/>
  <c r="D13" i="5"/>
  <c r="D8" i="5"/>
  <c r="H15" i="5"/>
  <c r="H42" i="5" s="1"/>
  <c r="J21" i="5"/>
  <c r="H21" i="5"/>
  <c r="J8" i="5"/>
  <c r="J42" i="5" s="1"/>
  <c r="D21" i="5"/>
  <c r="F8" i="5"/>
  <c r="F42" i="5" s="1"/>
  <c r="M20" i="5" l="1"/>
  <c r="M21" i="5"/>
  <c r="H44" i="5"/>
  <c r="H45" i="5"/>
  <c r="U3" i="5" s="1"/>
  <c r="J44" i="5"/>
  <c r="J45" i="5" s="1"/>
  <c r="V3" i="5" s="1"/>
  <c r="L44" i="5"/>
  <c r="L45" i="5" s="1"/>
  <c r="W3" i="5" s="1"/>
  <c r="D42" i="5"/>
  <c r="F44" i="5"/>
  <c r="F45" i="5" s="1"/>
  <c r="T3" i="5" s="1"/>
  <c r="D44" i="5" l="1"/>
  <c r="D45" i="5" s="1"/>
  <c r="S3" i="5" s="1"/>
</calcChain>
</file>

<file path=xl/sharedStrings.xml><?xml version="1.0" encoding="utf-8"?>
<sst xmlns="http://schemas.openxmlformats.org/spreadsheetml/2006/main" count="337" uniqueCount="124">
  <si>
    <t>Sección</t>
  </si>
  <si>
    <t>Cobertura</t>
  </si>
  <si>
    <t>BB</t>
  </si>
  <si>
    <t>Resultado BB</t>
  </si>
  <si>
    <t>PSUR</t>
  </si>
  <si>
    <t>Resultado PSUR</t>
  </si>
  <si>
    <t>BSUR</t>
  </si>
  <si>
    <t>Resultado BSUR</t>
  </si>
  <si>
    <t>PYG</t>
  </si>
  <si>
    <t>Resultado PYG</t>
  </si>
  <si>
    <t>RMEX</t>
  </si>
  <si>
    <t>Resultado RMEX</t>
  </si>
  <si>
    <t>Limite de Cobertura</t>
  </si>
  <si>
    <t>Reglas</t>
  </si>
  <si>
    <t>Deducible</t>
  </si>
  <si>
    <t>Suma Asegurada</t>
  </si>
  <si>
    <t>Edificio</t>
  </si>
  <si>
    <t>Fuego y/o Rayo</t>
  </si>
  <si>
    <t>El 100% del valor del Edificio</t>
  </si>
  <si>
    <t>Sin deducible</t>
  </si>
  <si>
    <t>Hidro (SI/NO)</t>
  </si>
  <si>
    <t>Quake (SI/NO)</t>
  </si>
  <si>
    <t>Hidro</t>
  </si>
  <si>
    <t>El 80% o 90% del valor del Edificio según zona AMIS</t>
  </si>
  <si>
    <t>3% o  2% de las suma asegurada con coaseguro de 10% o 20%. Para perdidas parciales con coaseguro de 10% o 20% sobre la pérdida.</t>
  </si>
  <si>
    <t>Primas totales</t>
  </si>
  <si>
    <t>NO</t>
  </si>
  <si>
    <t>Terremoto</t>
  </si>
  <si>
    <t>El 70%, 80% y 90% del valor del Edificio según zona AMIS</t>
  </si>
  <si>
    <t>1%, 2% o 3% de la suma asegurada con coaseguro de 10%, 20% o 30%. Para perdidas parciales con coaseguro de 10%, 20% o 30% sobre la pérdida.</t>
  </si>
  <si>
    <t>El 20% del valor del Edificio.</t>
  </si>
  <si>
    <t>5% de la suma asegurada con coaseguro del 20%</t>
  </si>
  <si>
    <t>Contenido</t>
  </si>
  <si>
    <t>El 40% del valor del Edificio</t>
  </si>
  <si>
    <t>Sin Deducible</t>
  </si>
  <si>
    <t>Mejoras y adaptaciones</t>
  </si>
  <si>
    <t>Sublímite hasta $50,000 dolares</t>
  </si>
  <si>
    <t>Remoción de Escombros</t>
  </si>
  <si>
    <t>El 10% del Valor de Edificio,se conjunta suma asegurada en una sola Sección/Cobertura</t>
  </si>
  <si>
    <t>Edificio-Hidro</t>
  </si>
  <si>
    <t>Edificio-Terremoto</t>
  </si>
  <si>
    <t>El 10% del Valor de los Contenidos,se conjunta suma asegurada en una sola Sección/Cobertura</t>
  </si>
  <si>
    <t>Contenido-Hidro</t>
  </si>
  <si>
    <t>Contenido-Terremoto</t>
  </si>
  <si>
    <t>Gastos Extraordinarios</t>
  </si>
  <si>
    <t>Gastos Adicionales</t>
  </si>
  <si>
    <t>El 10 % de la suma asegurada de Edificio y Contendios</t>
  </si>
  <si>
    <t>Gastos Hidro</t>
  </si>
  <si>
    <t>Gastos Terremoto</t>
  </si>
  <si>
    <t>Responsabilidad Civil</t>
  </si>
  <si>
    <t>Responsabilidad Civil Familiar</t>
  </si>
  <si>
    <t>RC doméstica</t>
  </si>
  <si>
    <t>Monto máximo sublimitado a 2 mil dolares</t>
  </si>
  <si>
    <t>Equipo contratista</t>
  </si>
  <si>
    <t>Carro de Golf</t>
  </si>
  <si>
    <t>Incluido dentro de la cobertura RC</t>
  </si>
  <si>
    <t>Cristales</t>
  </si>
  <si>
    <t>El 5% del valor de Edicficio y Contenido</t>
  </si>
  <si>
    <t>$20.00 USD</t>
  </si>
  <si>
    <t>Equipo Electrodomestico</t>
  </si>
  <si>
    <t>y Electrónico</t>
  </si>
  <si>
    <t>El 30% del valor de Contenido</t>
  </si>
  <si>
    <t>3% del valor de reposición, con mínimo de $35.00 USD</t>
  </si>
  <si>
    <t>Robo con Violencia y/o Asalto</t>
  </si>
  <si>
    <t>Robo</t>
  </si>
  <si>
    <t>-</t>
  </si>
  <si>
    <t>Menaje de Casa</t>
  </si>
  <si>
    <t>El 70% de Robo</t>
  </si>
  <si>
    <t>3% de la perdida con mínimo de $50.00 USD</t>
  </si>
  <si>
    <t>Joyas</t>
  </si>
  <si>
    <t>El 15% de Robo</t>
  </si>
  <si>
    <t>Asalto</t>
  </si>
  <si>
    <t>El 10% de Robo con límite máximo de $4,000 USD</t>
  </si>
  <si>
    <t>Dinero y Valores</t>
  </si>
  <si>
    <t>El 5% de Robo con límite máximo de $1,000 USD</t>
  </si>
  <si>
    <t>Rotura de Maquinaria</t>
  </si>
  <si>
    <t>Maquinaria</t>
  </si>
  <si>
    <t>Con Sublimite del 5% del  valor de Edificio o Contenido</t>
  </si>
  <si>
    <t>10% con miínimo de $100.00 USD</t>
  </si>
  <si>
    <t>Boiler</t>
  </si>
  <si>
    <t>Con Sublimite del 2.5% del  valor de Edificio Contenido</t>
  </si>
  <si>
    <t>10% con mínimo de $100.00 USD</t>
  </si>
  <si>
    <t>Servicios</t>
  </si>
  <si>
    <t>Cobertura de GMX</t>
  </si>
  <si>
    <t>Prima Neta</t>
  </si>
  <si>
    <t>Derecho de Póliza</t>
  </si>
  <si>
    <t>Iva</t>
  </si>
  <si>
    <t>Prima Total</t>
  </si>
  <si>
    <t xml:space="preserve"> </t>
  </si>
  <si>
    <t>Zonas Novamar</t>
  </si>
  <si>
    <t>Zonas TEV AMIS</t>
  </si>
  <si>
    <t>04920</t>
  </si>
  <si>
    <t>Zonas FHM AMIS</t>
  </si>
  <si>
    <t>Alfa 1 P.Yuca</t>
  </si>
  <si>
    <t>Alfa 1 P.Sur</t>
  </si>
  <si>
    <t>Alfa 1 G.Mex</t>
  </si>
  <si>
    <t>Alfa 1 Int. Rep</t>
  </si>
  <si>
    <t>Alfa 2</t>
  </si>
  <si>
    <t>Alfa 3</t>
  </si>
  <si>
    <t>1-Ingresa valor</t>
  </si>
  <si>
    <t>2-Ingresa valor</t>
  </si>
  <si>
    <t>4-Ingresa valor</t>
  </si>
  <si>
    <t>3-Ingresa valor</t>
  </si>
  <si>
    <t>7-Ingresa valor</t>
  </si>
  <si>
    <t>6-Ingresa valor</t>
  </si>
  <si>
    <t>5-Ingresa valor</t>
  </si>
  <si>
    <t/>
  </si>
  <si>
    <t>SI</t>
  </si>
  <si>
    <t>Bienes al intemperie</t>
  </si>
  <si>
    <r>
      <t xml:space="preserve">*Renta Vacacional (es opcional): </t>
    </r>
    <r>
      <rPr>
        <sz val="10"/>
        <color theme="1"/>
        <rFont val="Arial"/>
        <family val="2"/>
      </rPr>
      <t>se suman $100.00 USD a la Prima Neta si es seleccionada. Pueden cambiar algunos derechos de póliza en base a la tabla Rangos para D.Póliza</t>
    </r>
  </si>
  <si>
    <t>Rangos para D.Póliza</t>
  </si>
  <si>
    <t>Prima Neta USD</t>
  </si>
  <si>
    <t>Derecho de Póliza USD</t>
  </si>
  <si>
    <t>$0 - $100</t>
  </si>
  <si>
    <t>$101 - $500</t>
  </si>
  <si>
    <t>$501 - $1,000</t>
  </si>
  <si>
    <t>$1,001 - $2,000</t>
  </si>
  <si>
    <t>$2,001 - $3,000</t>
  </si>
  <si>
    <t>$3,001 - $10,000</t>
  </si>
  <si>
    <t>BB (BAHIA DE BANDERAS)</t>
  </si>
  <si>
    <t>PSUR (PACIFICO SUR)</t>
  </si>
  <si>
    <t>BSUR (BAJA SUR)</t>
  </si>
  <si>
    <t>PYG (PENINSULA DE YUCATAN Y GOLFO DE MEXICO)</t>
  </si>
  <si>
    <t>RMEX (RESTO DE MEXICO)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</si>
</sst>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2154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1546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44" fontId="3" fillId="0" borderId="0" xfId="1" applyFont="1"/>
    <xf numFmtId="44" fontId="3" fillId="0" borderId="0" xfId="0" applyNumberFormat="1" applyFont="1"/>
    <xf numFmtId="0" fontId="3" fillId="0" borderId="0" xfId="0" applyFont="1"/>
    <xf numFmtId="0" fontId="0" fillId="2" borderId="0" xfId="0" applyFill="1"/>
    <xf numFmtId="44" fontId="3" fillId="2" borderId="0" xfId="1" applyFont="1" applyFill="1"/>
    <xf numFmtId="0" fontId="0" fillId="2" borderId="0" xfId="0" applyFill="1" applyAlignment="1">
      <alignment horizontal="center"/>
    </xf>
    <xf numFmtId="44" fontId="3" fillId="2" borderId="0" xfId="0" applyNumberFormat="1" applyFont="1" applyFill="1"/>
    <xf numFmtId="44" fontId="5" fillId="2" borderId="0" xfId="1" applyFont="1" applyFill="1"/>
    <xf numFmtId="44" fontId="5" fillId="0" borderId="0" xfId="1" applyFont="1"/>
    <xf numFmtId="0" fontId="5" fillId="0" borderId="0" xfId="0" applyFont="1"/>
    <xf numFmtId="0" fontId="5" fillId="2" borderId="0" xfId="1" applyNumberFormat="1" applyFont="1" applyFill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44" fontId="6" fillId="0" borderId="0" xfId="1" applyFont="1" applyAlignment="1">
      <alignment horizontal="center"/>
    </xf>
    <xf numFmtId="44" fontId="6" fillId="0" borderId="1" xfId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0" fillId="0" borderId="2" xfId="0" applyBorder="1"/>
    <xf numFmtId="0" fontId="6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44" fontId="6" fillId="3" borderId="3" xfId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44" fontId="5" fillId="2" borderId="0" xfId="1" applyFont="1" applyFill="1" applyProtection="1">
      <protection locked="0"/>
    </xf>
    <xf numFmtId="44" fontId="5" fillId="0" borderId="0" xfId="1" applyFont="1" applyProtection="1">
      <protection locked="0"/>
    </xf>
    <xf numFmtId="0" fontId="10" fillId="0" borderId="0" xfId="0" applyFont="1"/>
    <xf numFmtId="0" fontId="11" fillId="0" borderId="0" xfId="0" applyFont="1"/>
    <xf numFmtId="44" fontId="12" fillId="2" borderId="0" xfId="1" applyFont="1" applyFill="1"/>
    <xf numFmtId="44" fontId="12" fillId="0" borderId="0" xfId="1" applyFont="1"/>
    <xf numFmtId="44" fontId="12" fillId="0" borderId="0" xfId="0" applyNumberFormat="1" applyFont="1"/>
    <xf numFmtId="0" fontId="12" fillId="0" borderId="0" xfId="0" applyFont="1"/>
    <xf numFmtId="44" fontId="12" fillId="2" borderId="0" xfId="0" applyNumberFormat="1" applyFont="1" applyFill="1"/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6" fillId="0" borderId="0" xfId="0" quotePrefix="1" applyFont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44" fontId="2" fillId="5" borderId="0" xfId="1" applyFont="1" applyFill="1" applyAlignment="1">
      <alignment horizontal="center"/>
    </xf>
    <xf numFmtId="0" fontId="14" fillId="0" borderId="0" xfId="0" applyFont="1" applyAlignment="1">
      <alignment vertical="center"/>
    </xf>
    <xf numFmtId="0" fontId="17" fillId="0" borderId="2" xfId="0" applyFont="1" applyBorder="1"/>
    <xf numFmtId="0" fontId="17" fillId="0" borderId="9" xfId="0" applyFont="1" applyBorder="1"/>
    <xf numFmtId="0" fontId="18" fillId="0" borderId="4" xfId="0" applyFont="1" applyBorder="1"/>
    <xf numFmtId="6" fontId="18" fillId="0" borderId="8" xfId="0" applyNumberFormat="1" applyFont="1" applyBorder="1"/>
    <xf numFmtId="0" fontId="18" fillId="0" borderId="5" xfId="0" applyFont="1" applyBorder="1"/>
    <xf numFmtId="6" fontId="18" fillId="0" borderId="10" xfId="0" applyNumberFormat="1" applyFont="1" applyBorder="1"/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0" fillId="6" borderId="0" xfId="0" applyFill="1"/>
    <xf numFmtId="0" fontId="7" fillId="6" borderId="0" xfId="0" applyFont="1" applyFill="1" applyAlignment="1">
      <alignment horizontal="center"/>
    </xf>
    <xf numFmtId="2" fontId="8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44" fontId="3" fillId="6" borderId="0" xfId="1" applyFont="1" applyFill="1"/>
    <xf numFmtId="0" fontId="0" fillId="6" borderId="0" xfId="0" applyFill="1" applyAlignment="1">
      <alignment horizontal="center"/>
    </xf>
    <xf numFmtId="44" fontId="5" fillId="6" borderId="0" xfId="1" applyFont="1" applyFill="1"/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top"/>
    </xf>
    <xf numFmtId="0" fontId="4" fillId="5" borderId="0" xfId="0" applyFont="1" applyFill="1" applyAlignment="1">
      <alignment vertical="center"/>
    </xf>
    <xf numFmtId="44" fontId="3" fillId="6" borderId="0" xfId="0" applyNumberFormat="1" applyFont="1" applyFill="1"/>
    <xf numFmtId="44" fontId="5" fillId="6" borderId="0" xfId="1" applyFont="1" applyFill="1" applyProtection="1">
      <protection locked="0"/>
    </xf>
    <xf numFmtId="44" fontId="12" fillId="6" borderId="0" xfId="1" applyFont="1" applyFill="1"/>
    <xf numFmtId="0" fontId="6" fillId="6" borderId="0" xfId="0" applyFont="1" applyFill="1" applyAlignment="1">
      <alignment horizontal="center"/>
    </xf>
    <xf numFmtId="44" fontId="12" fillId="6" borderId="0" xfId="0" applyNumberFormat="1" applyFont="1" applyFill="1"/>
    <xf numFmtId="44" fontId="6" fillId="0" borderId="6" xfId="0" applyNumberFormat="1" applyFont="1" applyBorder="1" applyAlignment="1">
      <alignment horizontal="center" vertical="center"/>
    </xf>
    <xf numFmtId="4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7"/>
  <colors>
    <mruColors>
      <color rgb="FF215466"/>
      <color rgb="FF2F794A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zoomScaleNormal="100" zoomScalePageLayoutView="130" workbookViewId="0">
      <selection activeCell="C8" sqref="C8"/>
    </sheetView>
  </sheetViews>
  <sheetFormatPr baseColWidth="10" defaultColWidth="11" defaultRowHeight="15.75" x14ac:dyDescent="0.25"/>
  <cols>
    <col min="1" max="1" width="27" customWidth="1"/>
    <col min="2" max="2" width="26.25" customWidth="1"/>
    <col min="3" max="3" width="23.125" style="3" bestFit="1" customWidth="1"/>
    <col min="4" max="4" width="12.125" style="3" bestFit="1" customWidth="1"/>
    <col min="5" max="5" width="18.75" style="3" bestFit="1" customWidth="1"/>
    <col min="6" max="6" width="14.375" style="3" bestFit="1" customWidth="1"/>
    <col min="7" max="7" width="15.25" style="3" bestFit="1" customWidth="1"/>
    <col min="8" max="8" width="14.375" style="3" bestFit="1" customWidth="1"/>
    <col min="9" max="9" width="45.625" style="3" bestFit="1" customWidth="1"/>
    <col min="10" max="10" width="13.25" style="3" bestFit="1" customWidth="1"/>
    <col min="11" max="11" width="23.375" style="3" bestFit="1" customWidth="1"/>
    <col min="12" max="12" width="14.875" style="3" bestFit="1" customWidth="1"/>
    <col min="13" max="13" width="18" bestFit="1" customWidth="1"/>
    <col min="14" max="14" width="81.75" bestFit="1" customWidth="1"/>
    <col min="15" max="15" width="125" style="3" bestFit="1" customWidth="1"/>
    <col min="16" max="16" width="15.125" customWidth="1"/>
    <col min="17" max="17" width="13.5" bestFit="1" customWidth="1"/>
    <col min="18" max="18" width="13" customWidth="1"/>
    <col min="19" max="21" width="8.625" bestFit="1" customWidth="1"/>
    <col min="22" max="22" width="10.125" bestFit="1" customWidth="1"/>
    <col min="23" max="23" width="8.625" bestFit="1" customWidth="1"/>
    <col min="25" max="25" width="12.5" bestFit="1" customWidth="1"/>
    <col min="26" max="26" width="13.25" bestFit="1" customWidth="1"/>
  </cols>
  <sheetData>
    <row r="1" spans="1:26" ht="29.45" customHeight="1" x14ac:dyDescent="0.25">
      <c r="A1" s="56" t="s">
        <v>0</v>
      </c>
      <c r="B1" s="46" t="s">
        <v>1</v>
      </c>
      <c r="C1" s="47" t="s">
        <v>119</v>
      </c>
      <c r="D1" s="47" t="s">
        <v>3</v>
      </c>
      <c r="E1" s="47" t="s">
        <v>120</v>
      </c>
      <c r="F1" s="47" t="s">
        <v>5</v>
      </c>
      <c r="G1" s="47" t="s">
        <v>121</v>
      </c>
      <c r="H1" s="47" t="s">
        <v>7</v>
      </c>
      <c r="I1" s="59" t="s">
        <v>122</v>
      </c>
      <c r="J1" s="47" t="s">
        <v>9</v>
      </c>
      <c r="K1" s="59" t="s">
        <v>123</v>
      </c>
      <c r="L1" s="47" t="s">
        <v>11</v>
      </c>
      <c r="M1" s="46" t="s">
        <v>12</v>
      </c>
      <c r="N1" s="47" t="s">
        <v>13</v>
      </c>
      <c r="O1" s="47" t="s">
        <v>14</v>
      </c>
      <c r="P1" s="46" t="s">
        <v>15</v>
      </c>
    </row>
    <row r="2" spans="1:26" ht="16.5" thickBot="1" x14ac:dyDescent="0.3">
      <c r="A2" s="67" t="s">
        <v>16</v>
      </c>
      <c r="B2" s="7" t="s">
        <v>17</v>
      </c>
      <c r="C2" s="15">
        <v>0.2</v>
      </c>
      <c r="D2" s="17">
        <f>(P2*C2)/1000/365*365</f>
        <v>20</v>
      </c>
      <c r="E2" s="15">
        <v>0.2</v>
      </c>
      <c r="F2" s="17">
        <f>(P2*E2)/1000/365*365</f>
        <v>20</v>
      </c>
      <c r="G2" s="29">
        <v>0.2</v>
      </c>
      <c r="H2" s="17">
        <f>(P2*G2)/1000/365*365</f>
        <v>20</v>
      </c>
      <c r="I2" s="58">
        <v>0.2</v>
      </c>
      <c r="J2" s="17">
        <f>(P2*I2)/1000/365*365</f>
        <v>20</v>
      </c>
      <c r="K2" s="29">
        <v>0.2</v>
      </c>
      <c r="L2" s="17">
        <f>(P2*K2)/1000/365*365</f>
        <v>20</v>
      </c>
      <c r="M2" s="8">
        <v>1000000</v>
      </c>
      <c r="N2" s="7" t="s">
        <v>18</v>
      </c>
      <c r="O2" s="9" t="s">
        <v>19</v>
      </c>
      <c r="P2" s="33">
        <v>100000</v>
      </c>
      <c r="Q2" s="47" t="s">
        <v>99</v>
      </c>
      <c r="S2" s="47" t="s">
        <v>2</v>
      </c>
      <c r="T2" s="47" t="s">
        <v>4</v>
      </c>
      <c r="U2" s="47" t="s">
        <v>6</v>
      </c>
      <c r="V2" s="47" t="s">
        <v>8</v>
      </c>
      <c r="W2" s="47" t="s">
        <v>10</v>
      </c>
      <c r="Y2" s="47" t="s">
        <v>20</v>
      </c>
      <c r="Z2" s="47" t="s">
        <v>21</v>
      </c>
    </row>
    <row r="3" spans="1:26" s="60" customFormat="1" x14ac:dyDescent="0.25">
      <c r="A3" s="67" t="s">
        <v>16</v>
      </c>
      <c r="B3" s="60" t="s">
        <v>22</v>
      </c>
      <c r="C3" s="61">
        <v>2</v>
      </c>
      <c r="D3" s="62">
        <f>IF(P3=0, 0, (P2*C3)/1000/365*365)</f>
        <v>200</v>
      </c>
      <c r="E3" s="63">
        <v>3</v>
      </c>
      <c r="F3" s="62">
        <f>IF(P3=0, 0, (P2*E3)/1000/365*365)</f>
        <v>300</v>
      </c>
      <c r="G3" s="63">
        <v>3</v>
      </c>
      <c r="H3" s="62">
        <f>IF(P3=0, 0, (P2*G3)/1000/365*365)</f>
        <v>300</v>
      </c>
      <c r="I3" s="63">
        <v>7</v>
      </c>
      <c r="J3" s="62">
        <f>IF(P3=0, 0, (P2*I3)/1000/365*365)</f>
        <v>700</v>
      </c>
      <c r="K3" s="63">
        <v>0.55000000000000004</v>
      </c>
      <c r="L3" s="62">
        <f>IF(P3=0, 0, (P2*K3)/1000/365*365)</f>
        <v>55.000000000000007</v>
      </c>
      <c r="M3" s="64">
        <f>M2*0.9</f>
        <v>900000</v>
      </c>
      <c r="N3" s="60" t="s">
        <v>23</v>
      </c>
      <c r="O3" s="65" t="s">
        <v>24</v>
      </c>
      <c r="P3" s="66">
        <f>IF(Y3="SI", P2, 0)</f>
        <v>100000</v>
      </c>
      <c r="R3" s="78" t="s">
        <v>25</v>
      </c>
      <c r="S3" s="76">
        <f>D45</f>
        <v>669.58900400000005</v>
      </c>
      <c r="T3" s="76">
        <f>F45</f>
        <v>828.99623880000001</v>
      </c>
      <c r="U3" s="76">
        <f>H45</f>
        <v>828.92315880000001</v>
      </c>
      <c r="V3" s="76">
        <f>J45</f>
        <v>1431.1036000000001</v>
      </c>
      <c r="W3" s="76">
        <f>L45</f>
        <v>426.822</v>
      </c>
      <c r="Y3" s="65" t="s">
        <v>107</v>
      </c>
      <c r="Z3" s="65" t="s">
        <v>107</v>
      </c>
    </row>
    <row r="4" spans="1:26" ht="16.5" thickBot="1" x14ac:dyDescent="0.3">
      <c r="A4" s="67" t="s">
        <v>16</v>
      </c>
      <c r="B4" s="7" t="s">
        <v>27</v>
      </c>
      <c r="C4" s="15">
        <v>0.55000000000000004</v>
      </c>
      <c r="D4" s="17">
        <f>IF(P4=0, 0, (P2*C4)/1000/365*365)</f>
        <v>55.000000000000007</v>
      </c>
      <c r="E4" s="29">
        <v>0.8</v>
      </c>
      <c r="F4" s="17">
        <f>IF(P3=0, 0, (P2*E4)/1000/365*365)</f>
        <v>80</v>
      </c>
      <c r="G4" s="29">
        <v>0.8</v>
      </c>
      <c r="H4" s="17">
        <f>IF(P3=0, 0, (P2*G4)/1000/365*365)</f>
        <v>80</v>
      </c>
      <c r="I4" s="29">
        <v>0.55000000000000004</v>
      </c>
      <c r="J4" s="17">
        <f>IF(P4=0, 0, (P2*I4)/1000/365*365)</f>
        <v>55.000000000000007</v>
      </c>
      <c r="K4" s="29">
        <v>0.55000000000000004</v>
      </c>
      <c r="L4" s="17">
        <f>IF(P4=0, 0, (P2*K4)/1000/365*365)</f>
        <v>55.000000000000007</v>
      </c>
      <c r="M4" s="8">
        <f>M2*0.9</f>
        <v>900000</v>
      </c>
      <c r="N4" s="7" t="s">
        <v>28</v>
      </c>
      <c r="O4" s="9" t="s">
        <v>29</v>
      </c>
      <c r="P4" s="11">
        <f>IF(Z3="SI", P2, 0)</f>
        <v>100000</v>
      </c>
      <c r="R4" s="78"/>
      <c r="S4" s="77"/>
      <c r="T4" s="77"/>
      <c r="U4" s="77"/>
      <c r="V4" s="77"/>
      <c r="W4" s="77"/>
    </row>
    <row r="5" spans="1:26" s="60" customFormat="1" x14ac:dyDescent="0.25">
      <c r="A5" s="67" t="s">
        <v>16</v>
      </c>
      <c r="B5" s="60" t="s">
        <v>108</v>
      </c>
      <c r="C5" s="61">
        <v>3</v>
      </c>
      <c r="D5" s="62">
        <f>(P5*C5)/1000/365*365</f>
        <v>0</v>
      </c>
      <c r="E5" s="63">
        <v>3</v>
      </c>
      <c r="F5" s="62">
        <f>(P5*E5)/1000/365*365</f>
        <v>0</v>
      </c>
      <c r="G5" s="63">
        <v>3</v>
      </c>
      <c r="H5" s="62">
        <f>(P5*G5)/1000/365*365</f>
        <v>0</v>
      </c>
      <c r="I5" s="63">
        <v>5.25</v>
      </c>
      <c r="J5" s="62">
        <f>(P5*I5)/1000/365*365</f>
        <v>0</v>
      </c>
      <c r="K5" s="63">
        <v>3</v>
      </c>
      <c r="L5" s="62">
        <f>(P5*K5)/1000/365*365</f>
        <v>0</v>
      </c>
      <c r="M5" s="64">
        <f>M2*0.2</f>
        <v>200000</v>
      </c>
      <c r="N5" s="60" t="s">
        <v>30</v>
      </c>
      <c r="O5" s="65" t="s">
        <v>31</v>
      </c>
      <c r="P5" s="72">
        <v>0</v>
      </c>
    </row>
    <row r="6" spans="1:26" x14ac:dyDescent="0.25">
      <c r="C6" s="16"/>
      <c r="D6" s="18"/>
      <c r="E6" s="30"/>
      <c r="F6" s="18"/>
      <c r="G6" s="30"/>
      <c r="H6" s="18"/>
      <c r="I6" s="30"/>
      <c r="J6" s="18"/>
      <c r="K6" s="30"/>
      <c r="L6" s="18"/>
      <c r="M6" s="6"/>
      <c r="P6" s="12"/>
    </row>
    <row r="7" spans="1:26" x14ac:dyDescent="0.25">
      <c r="A7" s="67" t="s">
        <v>32</v>
      </c>
      <c r="B7" s="7" t="s">
        <v>17</v>
      </c>
      <c r="C7" s="15">
        <v>0.2</v>
      </c>
      <c r="D7" s="17">
        <f>(P7*C7)/1000/365*365</f>
        <v>5.9999999999999991</v>
      </c>
      <c r="E7" s="29">
        <v>0.2</v>
      </c>
      <c r="F7" s="17">
        <f>(P7*E7)/1000/365*365</f>
        <v>5.9999999999999991</v>
      </c>
      <c r="G7" s="29">
        <v>0.2</v>
      </c>
      <c r="H7" s="17">
        <f>(P7*G7)/1000/365*365</f>
        <v>5.9999999999999991</v>
      </c>
      <c r="I7" s="29">
        <v>0.2</v>
      </c>
      <c r="J7" s="17">
        <f>(P7*I7)/1000/365*365</f>
        <v>5.9999999999999991</v>
      </c>
      <c r="K7" s="29">
        <v>0.2</v>
      </c>
      <c r="L7" s="17">
        <f>(P7*K7)/1000/365*365</f>
        <v>5.9999999999999991</v>
      </c>
      <c r="M7" s="8">
        <f>M2*0.4</f>
        <v>400000</v>
      </c>
      <c r="N7" s="7" t="s">
        <v>33</v>
      </c>
      <c r="O7" s="9" t="s">
        <v>34</v>
      </c>
      <c r="P7" s="33">
        <v>30000</v>
      </c>
      <c r="Q7" s="47" t="s">
        <v>100</v>
      </c>
    </row>
    <row r="8" spans="1:26" s="60" customFormat="1" x14ac:dyDescent="0.25">
      <c r="A8" s="67" t="s">
        <v>32</v>
      </c>
      <c r="B8" s="60" t="s">
        <v>22</v>
      </c>
      <c r="C8" s="61">
        <v>2</v>
      </c>
      <c r="D8" s="62">
        <f>IF(P8=0, 0, (P8*C8)/1000/365*365)</f>
        <v>60</v>
      </c>
      <c r="E8" s="63">
        <v>3</v>
      </c>
      <c r="F8" s="62">
        <f>IF(P8=0, 0, (P8*E8)/1000/365*365)</f>
        <v>90</v>
      </c>
      <c r="G8" s="63">
        <v>3</v>
      </c>
      <c r="H8" s="62">
        <f>IF(P8=0, 0, (P8*G8)/1000/365*365)</f>
        <v>90</v>
      </c>
      <c r="I8" s="63">
        <v>7</v>
      </c>
      <c r="J8" s="62">
        <f>IF(P8=0, 0, (P8*I8)/1000/365*365)</f>
        <v>210</v>
      </c>
      <c r="K8" s="63">
        <v>0.55000000000000004</v>
      </c>
      <c r="L8" s="62">
        <f>IF(P8=0, 0, (P8*K8)/1000/365*365)</f>
        <v>16.5</v>
      </c>
      <c r="M8" s="64">
        <f>M7*0.9</f>
        <v>360000</v>
      </c>
      <c r="N8" s="60" t="s">
        <v>23</v>
      </c>
      <c r="O8" s="65" t="s">
        <v>24</v>
      </c>
      <c r="P8" s="66">
        <f>IF(Y3="SI", P7,0)</f>
        <v>30000</v>
      </c>
    </row>
    <row r="9" spans="1:26" x14ac:dyDescent="0.25">
      <c r="A9" s="67" t="s">
        <v>32</v>
      </c>
      <c r="B9" s="7" t="s">
        <v>27</v>
      </c>
      <c r="C9" s="15">
        <v>0.55000000000000004</v>
      </c>
      <c r="D9" s="17">
        <f>IF(P9=0, 0, (P9*C9)/1000/365*365)</f>
        <v>16.5</v>
      </c>
      <c r="E9" s="29">
        <v>0.4</v>
      </c>
      <c r="F9" s="17">
        <f>IF(P9=0, 0, (P9*E9)/1000/365*365)</f>
        <v>11.999999999999998</v>
      </c>
      <c r="G9" s="29">
        <v>0.4</v>
      </c>
      <c r="H9" s="17">
        <f>IF(P9=0, 0, (P9*G9)/1000/365*365)</f>
        <v>11.999999999999998</v>
      </c>
      <c r="I9" s="29">
        <v>0.25</v>
      </c>
      <c r="J9" s="17">
        <f>IF(P9=0, 0, (P9*I9)/1000/365*365)</f>
        <v>7.5</v>
      </c>
      <c r="K9" s="29">
        <v>0.55000000000000004</v>
      </c>
      <c r="L9" s="17">
        <f>IF(P9=0, 0, (P9*K9)/1000/365*365)</f>
        <v>16.5</v>
      </c>
      <c r="M9" s="8">
        <f>M8</f>
        <v>360000</v>
      </c>
      <c r="N9" s="7" t="s">
        <v>28</v>
      </c>
      <c r="O9" s="9" t="s">
        <v>29</v>
      </c>
      <c r="P9" s="11">
        <f>IF(Z3="SI", P7,0)</f>
        <v>30000</v>
      </c>
    </row>
    <row r="10" spans="1:26" x14ac:dyDescent="0.25">
      <c r="A10" s="67" t="s">
        <v>32</v>
      </c>
      <c r="B10" s="7" t="s">
        <v>35</v>
      </c>
      <c r="C10" s="15">
        <v>3</v>
      </c>
      <c r="D10" s="17">
        <f>(P10*C10)/1000/365*365</f>
        <v>0</v>
      </c>
      <c r="E10" s="29">
        <v>3</v>
      </c>
      <c r="F10" s="17">
        <f>(P10*E10)/1000/365*365</f>
        <v>0</v>
      </c>
      <c r="G10" s="29">
        <v>3</v>
      </c>
      <c r="H10" s="17">
        <f>(P10*G10)/1000/365*365</f>
        <v>0</v>
      </c>
      <c r="I10" s="29">
        <v>3</v>
      </c>
      <c r="J10" s="17">
        <f>(P10*I10)/1000/365*365</f>
        <v>0</v>
      </c>
      <c r="K10" s="29">
        <v>3</v>
      </c>
      <c r="L10" s="17">
        <f>(P10*K10)/1000/365*365</f>
        <v>0</v>
      </c>
      <c r="M10" s="8">
        <v>50000</v>
      </c>
      <c r="N10" s="7" t="s">
        <v>36</v>
      </c>
      <c r="O10" s="9" t="s">
        <v>34</v>
      </c>
      <c r="P10" s="33">
        <v>0</v>
      </c>
    </row>
    <row r="11" spans="1:26" x14ac:dyDescent="0.25">
      <c r="C11" s="16"/>
      <c r="D11" s="18"/>
      <c r="E11" s="30"/>
      <c r="F11" s="18"/>
      <c r="G11" s="30"/>
      <c r="H11" s="18"/>
      <c r="I11" s="30"/>
      <c r="J11" s="18"/>
      <c r="K11" s="30"/>
      <c r="L11" s="18"/>
      <c r="M11" s="6"/>
      <c r="P11" s="12"/>
    </row>
    <row r="12" spans="1:26" ht="15.95" customHeight="1" x14ac:dyDescent="0.25">
      <c r="A12" s="68" t="s">
        <v>37</v>
      </c>
      <c r="B12" s="7" t="s">
        <v>16</v>
      </c>
      <c r="C12" s="15">
        <v>0.05</v>
      </c>
      <c r="D12" s="17">
        <f t="shared" ref="D12:D17" si="0">(P12*C12)/1000/365*365</f>
        <v>0.5</v>
      </c>
      <c r="E12" s="29">
        <v>0.05</v>
      </c>
      <c r="F12" s="17">
        <f t="shared" ref="F12:F17" si="1">(P12*E12)/1000/365*365</f>
        <v>0.5</v>
      </c>
      <c r="G12" s="29">
        <v>0.05</v>
      </c>
      <c r="H12" s="17">
        <f t="shared" ref="H12:H17" si="2">(P12*G12)/1000/365*365</f>
        <v>0.5</v>
      </c>
      <c r="I12" s="29">
        <v>0.05</v>
      </c>
      <c r="J12" s="17">
        <f t="shared" ref="J12:J17" si="3">(P12*I12)/1000/365*365</f>
        <v>0.5</v>
      </c>
      <c r="K12" s="29">
        <v>0.05</v>
      </c>
      <c r="L12" s="17">
        <f t="shared" ref="L12:L17" si="4">(P12*K12)/1000/365*365</f>
        <v>0.5</v>
      </c>
      <c r="M12" s="10">
        <f>M2*0.1</f>
        <v>100000</v>
      </c>
      <c r="N12" s="7" t="s">
        <v>38</v>
      </c>
      <c r="O12" s="9" t="s">
        <v>34</v>
      </c>
      <c r="P12" s="11">
        <f>P2*0.1</f>
        <v>10000</v>
      </c>
    </row>
    <row r="13" spans="1:26" s="60" customFormat="1" x14ac:dyDescent="0.25">
      <c r="A13" s="68" t="s">
        <v>37</v>
      </c>
      <c r="B13" s="60" t="s">
        <v>39</v>
      </c>
      <c r="C13" s="61">
        <v>0.5</v>
      </c>
      <c r="D13" s="62">
        <f t="shared" si="0"/>
        <v>5</v>
      </c>
      <c r="E13" s="63">
        <v>0.5</v>
      </c>
      <c r="F13" s="62">
        <f t="shared" si="1"/>
        <v>5</v>
      </c>
      <c r="G13" s="63">
        <v>0.5</v>
      </c>
      <c r="H13" s="62">
        <f t="shared" si="2"/>
        <v>5</v>
      </c>
      <c r="I13" s="63">
        <v>0.7</v>
      </c>
      <c r="J13" s="62">
        <f t="shared" si="3"/>
        <v>7</v>
      </c>
      <c r="K13" s="63">
        <v>0.5</v>
      </c>
      <c r="L13" s="62">
        <f t="shared" si="4"/>
        <v>5</v>
      </c>
      <c r="M13" s="71">
        <f>M2*0.1</f>
        <v>100000</v>
      </c>
      <c r="N13" s="60" t="s">
        <v>38</v>
      </c>
      <c r="O13" s="65" t="s">
        <v>34</v>
      </c>
      <c r="P13" s="66">
        <f>IF(Y3="SI", P12,0)</f>
        <v>10000</v>
      </c>
    </row>
    <row r="14" spans="1:26" x14ac:dyDescent="0.25">
      <c r="A14" s="68" t="s">
        <v>37</v>
      </c>
      <c r="B14" s="7" t="s">
        <v>40</v>
      </c>
      <c r="C14" s="15">
        <v>0.20630000000000001</v>
      </c>
      <c r="D14" s="17">
        <f t="shared" si="0"/>
        <v>2.0630000000000002</v>
      </c>
      <c r="E14" s="29">
        <v>0.20630000000000001</v>
      </c>
      <c r="F14" s="17">
        <f t="shared" si="1"/>
        <v>2.0630000000000002</v>
      </c>
      <c r="G14" s="29">
        <v>0.2</v>
      </c>
      <c r="H14" s="17">
        <f t="shared" si="2"/>
        <v>2</v>
      </c>
      <c r="I14" s="29">
        <v>0.2</v>
      </c>
      <c r="J14" s="17">
        <f t="shared" si="3"/>
        <v>2</v>
      </c>
      <c r="K14" s="29">
        <v>0.2</v>
      </c>
      <c r="L14" s="17">
        <f t="shared" si="4"/>
        <v>2</v>
      </c>
      <c r="M14" s="10">
        <f>M2*0.1</f>
        <v>100000</v>
      </c>
      <c r="N14" s="7" t="s">
        <v>38</v>
      </c>
      <c r="O14" s="9" t="s">
        <v>34</v>
      </c>
      <c r="P14" s="11">
        <f>IF(Z3="SI", P12,0)</f>
        <v>10000</v>
      </c>
    </row>
    <row r="15" spans="1:26" x14ac:dyDescent="0.25">
      <c r="A15" s="68" t="s">
        <v>37</v>
      </c>
      <c r="B15" t="s">
        <v>32</v>
      </c>
      <c r="C15" s="16">
        <v>0.05</v>
      </c>
      <c r="D15" s="18">
        <f t="shared" si="0"/>
        <v>0.15</v>
      </c>
      <c r="E15" s="30">
        <v>0.05</v>
      </c>
      <c r="F15" s="18">
        <f t="shared" si="1"/>
        <v>0.15</v>
      </c>
      <c r="G15" s="30">
        <v>0.05</v>
      </c>
      <c r="H15" s="18">
        <f t="shared" si="2"/>
        <v>0.15</v>
      </c>
      <c r="I15" s="30">
        <v>0.05</v>
      </c>
      <c r="J15" s="18">
        <f t="shared" si="3"/>
        <v>0.15</v>
      </c>
      <c r="K15" s="30">
        <v>0.05</v>
      </c>
      <c r="L15" s="18">
        <f t="shared" si="4"/>
        <v>0.15</v>
      </c>
      <c r="M15" s="5">
        <f>M7*0.1</f>
        <v>40000</v>
      </c>
      <c r="N15" t="s">
        <v>41</v>
      </c>
      <c r="O15" s="3" t="s">
        <v>34</v>
      </c>
      <c r="P15" s="12">
        <f>P7*0.1</f>
        <v>3000</v>
      </c>
    </row>
    <row r="16" spans="1:26" s="60" customFormat="1" x14ac:dyDescent="0.25">
      <c r="A16" s="68" t="s">
        <v>37</v>
      </c>
      <c r="B16" s="60" t="s">
        <v>42</v>
      </c>
      <c r="C16" s="61">
        <v>0.5</v>
      </c>
      <c r="D16" s="62">
        <f t="shared" si="0"/>
        <v>1.4999999999999998</v>
      </c>
      <c r="E16" s="63">
        <v>0.5</v>
      </c>
      <c r="F16" s="62">
        <f t="shared" si="1"/>
        <v>1.4999999999999998</v>
      </c>
      <c r="G16" s="63">
        <v>0.5</v>
      </c>
      <c r="H16" s="62">
        <f t="shared" si="2"/>
        <v>1.4999999999999998</v>
      </c>
      <c r="I16" s="63">
        <v>0.7</v>
      </c>
      <c r="J16" s="62">
        <f t="shared" si="3"/>
        <v>2.1</v>
      </c>
      <c r="K16" s="63">
        <v>0.5</v>
      </c>
      <c r="L16" s="62">
        <f t="shared" si="4"/>
        <v>1.4999999999999998</v>
      </c>
      <c r="M16" s="71">
        <f>M7*0.1</f>
        <v>40000</v>
      </c>
      <c r="N16" s="60" t="s">
        <v>41</v>
      </c>
      <c r="O16" s="65" t="s">
        <v>34</v>
      </c>
      <c r="P16" s="66">
        <f>IF(Y3="SI", P15,0)</f>
        <v>3000</v>
      </c>
    </row>
    <row r="17" spans="1:17" x14ac:dyDescent="0.25">
      <c r="A17" s="68" t="s">
        <v>37</v>
      </c>
      <c r="B17" t="s">
        <v>43</v>
      </c>
      <c r="C17" s="16">
        <v>0.20630000000000001</v>
      </c>
      <c r="D17" s="18">
        <f t="shared" si="0"/>
        <v>0.61890000000000001</v>
      </c>
      <c r="E17" s="30">
        <v>0.20630000000000001</v>
      </c>
      <c r="F17" s="18">
        <f t="shared" si="1"/>
        <v>0.61890000000000001</v>
      </c>
      <c r="G17" s="30">
        <v>0.20630000000000001</v>
      </c>
      <c r="H17" s="18">
        <f t="shared" si="2"/>
        <v>0.61890000000000001</v>
      </c>
      <c r="I17" s="30">
        <v>0.2</v>
      </c>
      <c r="J17" s="18">
        <f t="shared" si="3"/>
        <v>0.6</v>
      </c>
      <c r="K17" s="30">
        <v>0.2</v>
      </c>
      <c r="L17" s="18">
        <f t="shared" si="4"/>
        <v>0.6</v>
      </c>
      <c r="M17" s="5">
        <f>M7*0.1</f>
        <v>40000</v>
      </c>
      <c r="N17" t="s">
        <v>41</v>
      </c>
      <c r="O17" s="3" t="s">
        <v>34</v>
      </c>
      <c r="P17" s="12">
        <f>IF(Z3="SI", P15,0)</f>
        <v>3000</v>
      </c>
    </row>
    <row r="18" spans="1:17" x14ac:dyDescent="0.25">
      <c r="C18" s="16"/>
      <c r="D18" s="18"/>
      <c r="E18" s="30"/>
      <c r="F18" s="18"/>
      <c r="G18" s="30"/>
      <c r="H18" s="18"/>
      <c r="I18" s="30"/>
      <c r="J18" s="18"/>
      <c r="K18" s="30"/>
      <c r="L18" s="18"/>
      <c r="M18" s="6"/>
      <c r="P18" s="12"/>
    </row>
    <row r="19" spans="1:17" x14ac:dyDescent="0.25">
      <c r="A19" s="67" t="s">
        <v>44</v>
      </c>
      <c r="B19" s="7" t="s">
        <v>45</v>
      </c>
      <c r="C19" s="15">
        <v>2.4</v>
      </c>
      <c r="D19" s="17">
        <f>(P19*C19)/1000/365*365</f>
        <v>21.6</v>
      </c>
      <c r="E19" s="29">
        <v>0.24</v>
      </c>
      <c r="F19" s="17">
        <f>(P19*E19)/1000/365*365</f>
        <v>2.16</v>
      </c>
      <c r="G19" s="29">
        <v>0.24</v>
      </c>
      <c r="H19" s="17">
        <f>(P19*G19)/1000/365*365</f>
        <v>2.16</v>
      </c>
      <c r="I19" s="29">
        <v>0.24</v>
      </c>
      <c r="J19" s="17">
        <f>(P19*I19)/1000/365*365</f>
        <v>2.16</v>
      </c>
      <c r="K19" s="29">
        <v>0.5</v>
      </c>
      <c r="L19" s="17">
        <f>(P19*K19)/1000/365*365</f>
        <v>4.5</v>
      </c>
      <c r="M19" s="8">
        <f>(M2+M7)*0.1</f>
        <v>140000</v>
      </c>
      <c r="N19" s="7" t="s">
        <v>46</v>
      </c>
      <c r="O19" s="9" t="s">
        <v>34</v>
      </c>
      <c r="P19" s="33">
        <v>9000</v>
      </c>
      <c r="Q19" s="47" t="s">
        <v>101</v>
      </c>
    </row>
    <row r="20" spans="1:17" s="60" customFormat="1" x14ac:dyDescent="0.25">
      <c r="A20" s="67" t="s">
        <v>44</v>
      </c>
      <c r="B20" s="60" t="s">
        <v>47</v>
      </c>
      <c r="C20" s="61">
        <v>2.4</v>
      </c>
      <c r="D20" s="62">
        <f>(P20*C20)/1000/365*365</f>
        <v>21.6</v>
      </c>
      <c r="E20" s="63">
        <v>3</v>
      </c>
      <c r="F20" s="62">
        <f>(P20*E20)/1000/365*365</f>
        <v>27</v>
      </c>
      <c r="G20" s="63">
        <v>3</v>
      </c>
      <c r="H20" s="62">
        <f>(P20*G20)/1000/365*365</f>
        <v>27</v>
      </c>
      <c r="I20" s="63">
        <v>6</v>
      </c>
      <c r="J20" s="62">
        <f>(P20*I20)/1000/365*365</f>
        <v>54</v>
      </c>
      <c r="K20" s="63">
        <v>2</v>
      </c>
      <c r="L20" s="62">
        <f>(P20*K20)/1000/365*365</f>
        <v>18</v>
      </c>
      <c r="M20" s="64">
        <f>M19</f>
        <v>140000</v>
      </c>
      <c r="N20" s="60" t="s">
        <v>46</v>
      </c>
      <c r="O20" s="65" t="s">
        <v>34</v>
      </c>
      <c r="P20" s="66">
        <f>IF(Y3="SI", P19,0)</f>
        <v>9000</v>
      </c>
    </row>
    <row r="21" spans="1:17" x14ac:dyDescent="0.25">
      <c r="A21" s="67" t="s">
        <v>44</v>
      </c>
      <c r="B21" s="7" t="s">
        <v>48</v>
      </c>
      <c r="C21" s="15">
        <v>0.66</v>
      </c>
      <c r="D21" s="17">
        <f>(P21*C21)/1000/365*365</f>
        <v>5.94</v>
      </c>
      <c r="E21" s="29">
        <v>0.76666999999999996</v>
      </c>
      <c r="F21" s="17">
        <f>(P21*E21)/1000/365*365</f>
        <v>6.9000300000000001</v>
      </c>
      <c r="G21" s="29">
        <v>0.76666999999999996</v>
      </c>
      <c r="H21" s="17">
        <f>(P21*G21)/1000/365*365</f>
        <v>6.9000300000000001</v>
      </c>
      <c r="I21" s="29">
        <v>0.66</v>
      </c>
      <c r="J21" s="17">
        <f>(P21*I21)/1000/365*365</f>
        <v>5.94</v>
      </c>
      <c r="K21" s="29">
        <v>0.66</v>
      </c>
      <c r="L21" s="17">
        <f>(P21*K21)/1000/365*365</f>
        <v>5.94</v>
      </c>
      <c r="M21" s="8">
        <f>M19</f>
        <v>140000</v>
      </c>
      <c r="N21" s="7" t="s">
        <v>46</v>
      </c>
      <c r="O21" s="9" t="s">
        <v>34</v>
      </c>
      <c r="P21" s="11">
        <f>IF(Z3="SI", P19, 0)</f>
        <v>9000</v>
      </c>
    </row>
    <row r="22" spans="1:17" x14ac:dyDescent="0.25">
      <c r="C22" s="16"/>
      <c r="D22" s="18"/>
      <c r="E22" s="30"/>
      <c r="F22" s="18"/>
      <c r="G22" s="30"/>
      <c r="H22" s="18"/>
      <c r="I22" s="30"/>
      <c r="J22" s="18"/>
      <c r="K22" s="30"/>
      <c r="L22" s="18"/>
      <c r="M22" s="6"/>
      <c r="P22" s="12"/>
    </row>
    <row r="23" spans="1:17" x14ac:dyDescent="0.25">
      <c r="A23" s="67" t="s">
        <v>49</v>
      </c>
      <c r="B23" s="7" t="s">
        <v>50</v>
      </c>
      <c r="C23" s="15">
        <v>0.1</v>
      </c>
      <c r="D23" s="17">
        <f>(P23*C23)/1000/365*365</f>
        <v>50</v>
      </c>
      <c r="E23" s="29">
        <v>0.1</v>
      </c>
      <c r="F23" s="17">
        <f>(P23*E23)/1000/365*365</f>
        <v>50</v>
      </c>
      <c r="G23" s="29">
        <v>0.1</v>
      </c>
      <c r="H23" s="17">
        <f>(P23*G23)/1000/365*365</f>
        <v>50</v>
      </c>
      <c r="I23" s="29">
        <v>0.1</v>
      </c>
      <c r="J23" s="17">
        <f>(P23*I23)/1000/365*365</f>
        <v>50</v>
      </c>
      <c r="K23" s="29">
        <v>0.1</v>
      </c>
      <c r="L23" s="17">
        <f>(P23*K23)/1000/365*365</f>
        <v>50</v>
      </c>
      <c r="M23" s="8">
        <v>1000000</v>
      </c>
      <c r="N23" s="7" t="s">
        <v>18</v>
      </c>
      <c r="O23" s="9" t="s">
        <v>34</v>
      </c>
      <c r="P23" s="33">
        <v>500000</v>
      </c>
      <c r="Q23" s="47" t="s">
        <v>102</v>
      </c>
    </row>
    <row r="24" spans="1:17" x14ac:dyDescent="0.25">
      <c r="A24" s="67" t="s">
        <v>49</v>
      </c>
      <c r="B24" t="s">
        <v>51</v>
      </c>
      <c r="C24" s="16">
        <v>0.2</v>
      </c>
      <c r="D24" s="18">
        <f>(P24*C24)/100/365*365</f>
        <v>0</v>
      </c>
      <c r="E24" s="30">
        <v>0.2</v>
      </c>
      <c r="F24" s="18">
        <f>(P24*E24)/100/365*365</f>
        <v>0</v>
      </c>
      <c r="G24" s="30">
        <v>0.2</v>
      </c>
      <c r="H24" s="18">
        <f>(P24*G24)/100/365*365</f>
        <v>0</v>
      </c>
      <c r="I24" s="30">
        <v>0.2</v>
      </c>
      <c r="J24" s="18">
        <f>(P24*I24)/100/365*365</f>
        <v>0</v>
      </c>
      <c r="K24" s="30">
        <v>0.2</v>
      </c>
      <c r="L24" s="18">
        <f>(P24*K24)/100/365*365</f>
        <v>0</v>
      </c>
      <c r="M24" s="4">
        <v>2000</v>
      </c>
      <c r="N24" t="s">
        <v>52</v>
      </c>
      <c r="O24" s="3" t="s">
        <v>34</v>
      </c>
      <c r="P24" s="12">
        <v>0</v>
      </c>
    </row>
    <row r="25" spans="1:17" x14ac:dyDescent="0.25">
      <c r="A25" s="69" t="s">
        <v>53</v>
      </c>
      <c r="B25" t="s">
        <v>54</v>
      </c>
      <c r="C25" s="16">
        <v>0.9</v>
      </c>
      <c r="D25" s="18">
        <f>P25*C25</f>
        <v>0</v>
      </c>
      <c r="E25" s="16">
        <v>0.9</v>
      </c>
      <c r="F25" s="18">
        <f>P25*E25</f>
        <v>0</v>
      </c>
      <c r="G25" s="16">
        <v>0.9</v>
      </c>
      <c r="H25" s="18">
        <f>P25*G25</f>
        <v>0</v>
      </c>
      <c r="I25" s="16">
        <v>0.9</v>
      </c>
      <c r="J25" s="18">
        <f>P25*I25</f>
        <v>0</v>
      </c>
      <c r="K25" s="16">
        <v>0.9</v>
      </c>
      <c r="L25" s="18">
        <f>P25*K25</f>
        <v>0</v>
      </c>
      <c r="M25" s="4">
        <v>10000</v>
      </c>
      <c r="N25" t="s">
        <v>55</v>
      </c>
      <c r="O25" s="3" t="s">
        <v>34</v>
      </c>
      <c r="P25" s="34">
        <v>0</v>
      </c>
    </row>
    <row r="26" spans="1:17" x14ac:dyDescent="0.25">
      <c r="C26" s="16"/>
      <c r="D26" s="18"/>
      <c r="E26" s="30"/>
      <c r="F26" s="18"/>
      <c r="G26" s="30"/>
      <c r="H26" s="18"/>
      <c r="I26" s="30"/>
      <c r="J26" s="18"/>
      <c r="K26" s="30"/>
      <c r="L26" s="18"/>
      <c r="P26" s="13"/>
    </row>
    <row r="27" spans="1:17" x14ac:dyDescent="0.25">
      <c r="A27" s="47" t="s">
        <v>56</v>
      </c>
      <c r="B27" s="7" t="s">
        <v>56</v>
      </c>
      <c r="C27" s="15">
        <v>1.8</v>
      </c>
      <c r="D27" s="17">
        <f>(P27*C27)/100/365*365</f>
        <v>18</v>
      </c>
      <c r="E27" s="29">
        <v>1.8</v>
      </c>
      <c r="F27" s="17">
        <f>(P27*E27)/100/365*365</f>
        <v>18</v>
      </c>
      <c r="G27" s="29">
        <v>1.8</v>
      </c>
      <c r="H27" s="17">
        <f>(P27*G27)/100/365*365</f>
        <v>18</v>
      </c>
      <c r="I27" s="29">
        <v>1.8</v>
      </c>
      <c r="J27" s="17">
        <f>(P27*I27)/100/365*365</f>
        <v>18</v>
      </c>
      <c r="K27" s="29">
        <v>1.8</v>
      </c>
      <c r="L27" s="17">
        <f>(P27*K27)/100/365*365</f>
        <v>18</v>
      </c>
      <c r="M27" s="8">
        <f>(M2+M7)*0.05</f>
        <v>70000</v>
      </c>
      <c r="N27" s="7" t="s">
        <v>57</v>
      </c>
      <c r="O27" s="9" t="s">
        <v>58</v>
      </c>
      <c r="P27" s="33">
        <v>1000</v>
      </c>
      <c r="Q27" s="47" t="s">
        <v>103</v>
      </c>
    </row>
    <row r="28" spans="1:17" ht="15.95" customHeight="1" x14ac:dyDescent="0.25">
      <c r="C28" s="16"/>
      <c r="D28" s="18"/>
      <c r="E28" s="30"/>
      <c r="F28" s="18"/>
      <c r="G28" s="30"/>
      <c r="H28" s="18"/>
      <c r="I28" s="30"/>
      <c r="J28" s="18"/>
      <c r="K28" s="30"/>
      <c r="L28" s="18"/>
      <c r="M28" s="2"/>
      <c r="P28" s="12"/>
    </row>
    <row r="29" spans="1:17" x14ac:dyDescent="0.25">
      <c r="A29" s="46" t="s">
        <v>59</v>
      </c>
      <c r="B29" s="7" t="s">
        <v>60</v>
      </c>
      <c r="C29" s="15">
        <v>0.64</v>
      </c>
      <c r="D29" s="17">
        <f>(P29*C29)/1000/365*365</f>
        <v>5.76</v>
      </c>
      <c r="E29" s="29">
        <v>0.64</v>
      </c>
      <c r="F29" s="17">
        <f>(P29*E29)/1000/365*365</f>
        <v>5.76</v>
      </c>
      <c r="G29" s="29">
        <v>0.64</v>
      </c>
      <c r="H29" s="17">
        <f>(P29*G29)/1000/365*365</f>
        <v>5.76</v>
      </c>
      <c r="I29" s="29">
        <v>0.64</v>
      </c>
      <c r="J29" s="17">
        <f>(P29*I29)/1000/365*365</f>
        <v>5.76</v>
      </c>
      <c r="K29" s="29">
        <v>0.64</v>
      </c>
      <c r="L29" s="17">
        <f>(P29*K29)/1000/365*365</f>
        <v>5.76</v>
      </c>
      <c r="M29" s="8">
        <f>M7*0.3</f>
        <v>120000</v>
      </c>
      <c r="N29" s="7" t="s">
        <v>61</v>
      </c>
      <c r="O29" s="9" t="s">
        <v>62</v>
      </c>
      <c r="P29" s="33">
        <v>9000</v>
      </c>
      <c r="Q29" s="47" t="s">
        <v>104</v>
      </c>
    </row>
    <row r="30" spans="1:17" x14ac:dyDescent="0.25">
      <c r="C30" s="16"/>
      <c r="D30" s="18"/>
      <c r="E30" s="30"/>
      <c r="F30" s="18"/>
      <c r="G30" s="30"/>
      <c r="H30" s="18"/>
      <c r="I30" s="30"/>
      <c r="J30" s="18"/>
      <c r="K30" s="30"/>
      <c r="L30" s="18"/>
      <c r="P30" s="12"/>
    </row>
    <row r="31" spans="1:17" x14ac:dyDescent="0.25">
      <c r="A31" s="68" t="s">
        <v>63</v>
      </c>
      <c r="B31" s="7" t="s">
        <v>64</v>
      </c>
      <c r="C31" s="15">
        <v>0</v>
      </c>
      <c r="D31" s="17">
        <v>0</v>
      </c>
      <c r="E31" s="29">
        <v>0</v>
      </c>
      <c r="F31" s="17">
        <v>0</v>
      </c>
      <c r="G31" s="29">
        <v>0</v>
      </c>
      <c r="H31" s="17">
        <v>0</v>
      </c>
      <c r="I31" s="29">
        <v>0</v>
      </c>
      <c r="J31" s="17">
        <v>0</v>
      </c>
      <c r="K31" s="29">
        <v>0</v>
      </c>
      <c r="L31" s="17">
        <v>0</v>
      </c>
      <c r="M31" s="8">
        <f>M7*0.3</f>
        <v>120000</v>
      </c>
      <c r="N31" s="7" t="s">
        <v>61</v>
      </c>
      <c r="O31" s="9" t="s">
        <v>65</v>
      </c>
      <c r="P31" s="14"/>
    </row>
    <row r="32" spans="1:17" x14ac:dyDescent="0.25">
      <c r="A32" s="68" t="s">
        <v>63</v>
      </c>
      <c r="B32" t="s">
        <v>66</v>
      </c>
      <c r="C32" s="16">
        <v>0.5</v>
      </c>
      <c r="D32" s="18">
        <f>(P32*C32)/100/365*365</f>
        <v>45</v>
      </c>
      <c r="E32" s="30">
        <v>0.5</v>
      </c>
      <c r="F32" s="18">
        <f>(P32*E32)/100/365*365</f>
        <v>45</v>
      </c>
      <c r="G32" s="30">
        <v>0.5</v>
      </c>
      <c r="H32" s="18">
        <f>(P32*G32)/100/365*365</f>
        <v>45</v>
      </c>
      <c r="I32" s="30">
        <v>0.5</v>
      </c>
      <c r="J32" s="18">
        <f>(P32*I32)/100/365*365</f>
        <v>45</v>
      </c>
      <c r="K32" s="30">
        <v>0.5</v>
      </c>
      <c r="L32" s="18">
        <f>(P32*K32)/100/365*365</f>
        <v>45</v>
      </c>
      <c r="M32" s="5">
        <f>M31*0.7</f>
        <v>84000</v>
      </c>
      <c r="N32" t="s">
        <v>67</v>
      </c>
      <c r="O32" s="3" t="s">
        <v>68</v>
      </c>
      <c r="P32" s="34">
        <v>9000</v>
      </c>
      <c r="Q32" s="47" t="s">
        <v>105</v>
      </c>
    </row>
    <row r="33" spans="1:16" x14ac:dyDescent="0.25">
      <c r="A33" s="68" t="s">
        <v>63</v>
      </c>
      <c r="B33" s="7" t="s">
        <v>69</v>
      </c>
      <c r="C33" s="15">
        <v>0.8</v>
      </c>
      <c r="D33" s="17">
        <f>(P33*C33)/100/365*365</f>
        <v>0</v>
      </c>
      <c r="E33" s="29">
        <v>0.8</v>
      </c>
      <c r="F33" s="17">
        <f>(P33*E33)/100/365*365</f>
        <v>0</v>
      </c>
      <c r="G33" s="29">
        <v>0.8</v>
      </c>
      <c r="H33" s="17">
        <f>(P33*G33)/100/365*365</f>
        <v>0</v>
      </c>
      <c r="I33" s="29">
        <v>0.8</v>
      </c>
      <c r="J33" s="17">
        <f>(P33*I33)/100/365*365</f>
        <v>0</v>
      </c>
      <c r="K33" s="29">
        <v>0.8</v>
      </c>
      <c r="L33" s="17">
        <f>(P33*K33)/100/365*365</f>
        <v>0</v>
      </c>
      <c r="M33" s="10">
        <f>M31*0.15</f>
        <v>18000</v>
      </c>
      <c r="N33" s="7" t="s">
        <v>70</v>
      </c>
      <c r="O33" s="9" t="s">
        <v>68</v>
      </c>
      <c r="P33" s="33">
        <v>0</v>
      </c>
    </row>
    <row r="34" spans="1:16" x14ac:dyDescent="0.25">
      <c r="A34" s="68" t="s">
        <v>63</v>
      </c>
      <c r="B34" t="s">
        <v>71</v>
      </c>
      <c r="C34" s="16">
        <v>2.5</v>
      </c>
      <c r="D34" s="18">
        <f>(P34*C34)/100/365*365</f>
        <v>0</v>
      </c>
      <c r="E34" s="30">
        <v>2.5</v>
      </c>
      <c r="F34" s="18">
        <f>(P34*E34)/100/365*365</f>
        <v>0</v>
      </c>
      <c r="G34" s="30">
        <v>2.5</v>
      </c>
      <c r="H34" s="18">
        <f>(P34*G34)/100/365*365</f>
        <v>0</v>
      </c>
      <c r="I34" s="30">
        <v>2.5</v>
      </c>
      <c r="J34" s="18">
        <f>(P34*I34)/100/365*365</f>
        <v>0</v>
      </c>
      <c r="K34" s="30">
        <v>2.5</v>
      </c>
      <c r="L34" s="18">
        <f>(P34*K34)/100/365*365</f>
        <v>0</v>
      </c>
      <c r="M34" s="4">
        <v>4000</v>
      </c>
      <c r="N34" t="s">
        <v>72</v>
      </c>
      <c r="O34" s="3" t="s">
        <v>68</v>
      </c>
      <c r="P34" s="12">
        <v>0</v>
      </c>
    </row>
    <row r="35" spans="1:16" x14ac:dyDescent="0.25">
      <c r="A35" s="68" t="s">
        <v>63</v>
      </c>
      <c r="B35" s="7" t="s">
        <v>73</v>
      </c>
      <c r="C35" s="15">
        <v>0.8</v>
      </c>
      <c r="D35" s="17">
        <f>(P35*C35)/100/365*365</f>
        <v>0</v>
      </c>
      <c r="E35" s="29">
        <v>0.8</v>
      </c>
      <c r="F35" s="17">
        <f>(P35*E35)/100/365*365</f>
        <v>0</v>
      </c>
      <c r="G35" s="29">
        <v>0.8</v>
      </c>
      <c r="H35" s="17">
        <f>(P35*G35)/100/365*365</f>
        <v>0</v>
      </c>
      <c r="I35" s="29">
        <v>0.8</v>
      </c>
      <c r="J35" s="17">
        <f>(P35*I35)/100/365*365</f>
        <v>0</v>
      </c>
      <c r="K35" s="29">
        <v>0.8</v>
      </c>
      <c r="L35" s="17">
        <f>(P35*K35)/100/365*365</f>
        <v>0</v>
      </c>
      <c r="M35" s="10">
        <v>1000</v>
      </c>
      <c r="N35" s="7" t="s">
        <v>74</v>
      </c>
      <c r="O35" s="9" t="s">
        <v>68</v>
      </c>
      <c r="P35" s="11">
        <v>0</v>
      </c>
    </row>
    <row r="36" spans="1:16" x14ac:dyDescent="0.25">
      <c r="C36" s="16"/>
      <c r="D36" s="18"/>
      <c r="E36" s="30"/>
      <c r="F36" s="18"/>
      <c r="G36" s="30"/>
      <c r="H36" s="18"/>
      <c r="I36" s="30"/>
      <c r="J36" s="18"/>
      <c r="K36" s="30"/>
      <c r="L36" s="18"/>
      <c r="P36" s="1"/>
    </row>
    <row r="37" spans="1:16" x14ac:dyDescent="0.25">
      <c r="A37" s="70" t="s">
        <v>75</v>
      </c>
      <c r="B37" s="7" t="s">
        <v>76</v>
      </c>
      <c r="C37" s="15">
        <v>2</v>
      </c>
      <c r="D37" s="17">
        <f>(P37*C37)/1000/365*365</f>
        <v>0</v>
      </c>
      <c r="E37" s="29">
        <v>2</v>
      </c>
      <c r="F37" s="17">
        <f>(P37*E37)/1000/365*365</f>
        <v>0</v>
      </c>
      <c r="G37" s="29">
        <v>2</v>
      </c>
      <c r="H37" s="17">
        <f>(P37*G37)/1000/365*365</f>
        <v>0</v>
      </c>
      <c r="I37" s="29">
        <v>2</v>
      </c>
      <c r="J37" s="17">
        <f>(P37*I37)/1000/365*365</f>
        <v>0</v>
      </c>
      <c r="K37" s="29">
        <v>2</v>
      </c>
      <c r="L37" s="17">
        <f>(P37*K37)/1000/365*365</f>
        <v>0</v>
      </c>
      <c r="M37" s="8">
        <v>50000</v>
      </c>
      <c r="N37" s="7" t="s">
        <v>77</v>
      </c>
      <c r="O37" s="9" t="s">
        <v>78</v>
      </c>
      <c r="P37" s="33">
        <v>0</v>
      </c>
    </row>
    <row r="38" spans="1:16" x14ac:dyDescent="0.25">
      <c r="A38" s="70" t="s">
        <v>75</v>
      </c>
      <c r="B38" t="s">
        <v>79</v>
      </c>
      <c r="C38" s="16">
        <v>2</v>
      </c>
      <c r="D38" s="18">
        <f>(P38*C38)/100/365*365</f>
        <v>0</v>
      </c>
      <c r="E38" s="30">
        <v>2</v>
      </c>
      <c r="F38" s="18">
        <f>(P38*E38)/100/365*365</f>
        <v>0</v>
      </c>
      <c r="G38" s="30">
        <v>2</v>
      </c>
      <c r="H38" s="18">
        <f>(P38*G38)/100/365*365</f>
        <v>0</v>
      </c>
      <c r="I38" s="30">
        <v>2</v>
      </c>
      <c r="J38" s="18">
        <f>(P38*I38)/100/365*365</f>
        <v>0</v>
      </c>
      <c r="K38" s="30">
        <v>2</v>
      </c>
      <c r="L38" s="18">
        <f>(P38*K38)/100/365*365</f>
        <v>0</v>
      </c>
      <c r="M38" s="4">
        <v>25000</v>
      </c>
      <c r="N38" t="s">
        <v>80</v>
      </c>
      <c r="O38" s="3" t="s">
        <v>81</v>
      </c>
      <c r="P38" s="34">
        <v>0</v>
      </c>
    </row>
    <row r="40" spans="1:16" x14ac:dyDescent="0.25">
      <c r="A40" s="47" t="s">
        <v>82</v>
      </c>
      <c r="B40" s="7" t="s">
        <v>83</v>
      </c>
      <c r="C40" s="15">
        <v>0</v>
      </c>
      <c r="D40" s="17">
        <v>11</v>
      </c>
      <c r="E40" s="15">
        <v>0</v>
      </c>
      <c r="F40" s="17">
        <v>11</v>
      </c>
      <c r="G40" s="15">
        <v>0</v>
      </c>
      <c r="H40" s="17">
        <v>11</v>
      </c>
      <c r="I40" s="15">
        <v>0</v>
      </c>
      <c r="J40" s="17">
        <v>11</v>
      </c>
      <c r="K40" s="15">
        <v>0</v>
      </c>
      <c r="L40" s="17">
        <v>11</v>
      </c>
      <c r="M40" s="7"/>
      <c r="N40" s="7"/>
      <c r="O40" s="9"/>
      <c r="P40" s="11">
        <v>11</v>
      </c>
    </row>
    <row r="41" spans="1:16" ht="16.5" thickBot="1" x14ac:dyDescent="0.3"/>
    <row r="42" spans="1:16" x14ac:dyDescent="0.25">
      <c r="A42" s="24"/>
      <c r="B42" s="25" t="s">
        <v>84</v>
      </c>
      <c r="C42" s="26"/>
      <c r="D42" s="31">
        <f>SUM(D2:D40)</f>
        <v>546.2319</v>
      </c>
      <c r="E42" s="26"/>
      <c r="F42" s="31">
        <f>SUM(F2:F40)</f>
        <v>683.65192999999999</v>
      </c>
      <c r="G42" s="26"/>
      <c r="H42" s="31">
        <f>SUM(H2:H40)</f>
        <v>683.58893</v>
      </c>
      <c r="I42" s="26"/>
      <c r="J42" s="31">
        <f>SUM(J2:J40)</f>
        <v>1202.71</v>
      </c>
      <c r="K42" s="26"/>
      <c r="L42" s="31">
        <f>SUM(L2:L40)</f>
        <v>336.95</v>
      </c>
    </row>
    <row r="43" spans="1:16" x14ac:dyDescent="0.25">
      <c r="A43" s="27"/>
      <c r="B43" s="22" t="s">
        <v>85</v>
      </c>
      <c r="D43" s="20">
        <v>31</v>
      </c>
      <c r="F43" s="20">
        <v>31</v>
      </c>
      <c r="H43" s="20">
        <v>31</v>
      </c>
      <c r="J43" s="20">
        <v>31</v>
      </c>
      <c r="L43" s="20">
        <v>31</v>
      </c>
    </row>
    <row r="44" spans="1:16" ht="16.5" thickBot="1" x14ac:dyDescent="0.3">
      <c r="A44" s="28"/>
      <c r="B44" s="23" t="s">
        <v>86</v>
      </c>
      <c r="C44" s="19"/>
      <c r="D44" s="21">
        <f>(D42+D43)*0.16</f>
        <v>92.357104000000007</v>
      </c>
      <c r="E44" s="19"/>
      <c r="F44" s="21">
        <f>(F42+F43)*0.16</f>
        <v>114.34430880000001</v>
      </c>
      <c r="G44" s="19"/>
      <c r="H44" s="21">
        <f>(H42+H43)*0.16</f>
        <v>114.33422880000001</v>
      </c>
      <c r="I44" s="19"/>
      <c r="J44" s="21">
        <f>(J42+J43)*0.16</f>
        <v>197.39360000000002</v>
      </c>
      <c r="K44" s="19"/>
      <c r="L44" s="21">
        <f>(L42+L43)*0.16</f>
        <v>58.872</v>
      </c>
    </row>
    <row r="45" spans="1:16" x14ac:dyDescent="0.25">
      <c r="B45" s="22" t="s">
        <v>87</v>
      </c>
      <c r="D45" s="48">
        <f>D42+D43+D44</f>
        <v>669.58900400000005</v>
      </c>
      <c r="F45" s="48">
        <f>F42+F43+F44</f>
        <v>828.99623880000001</v>
      </c>
      <c r="H45" s="48">
        <f>H42+H43+H44</f>
        <v>828.92315880000001</v>
      </c>
      <c r="J45" s="48">
        <f>J42+J43+J44</f>
        <v>1431.1036000000001</v>
      </c>
      <c r="L45" s="48">
        <f>L42+L43+L44</f>
        <v>426.822</v>
      </c>
    </row>
  </sheetData>
  <mergeCells count="6">
    <mergeCell ref="T3:T4"/>
    <mergeCell ref="U3:U4"/>
    <mergeCell ref="V3:V4"/>
    <mergeCell ref="W3:W4"/>
    <mergeCell ref="R3:R4"/>
    <mergeCell ref="S3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BBDD-1312-4A78-A6D4-1D88292D5121}">
  <dimension ref="A1:Z45"/>
  <sheetViews>
    <sheetView zoomScaleNormal="100" workbookViewId="0">
      <selection activeCell="G24" sqref="G24"/>
    </sheetView>
  </sheetViews>
  <sheetFormatPr baseColWidth="10" defaultColWidth="11" defaultRowHeight="15.75" x14ac:dyDescent="0.25"/>
  <cols>
    <col min="1" max="1" width="27.125" bestFit="1" customWidth="1"/>
    <col min="2" max="2" width="26.25" bestFit="1" customWidth="1"/>
    <col min="3" max="3" width="23.25" bestFit="1" customWidth="1"/>
    <col min="4" max="4" width="12.125" bestFit="1" customWidth="1"/>
    <col min="5" max="5" width="18.875" bestFit="1" customWidth="1"/>
    <col min="6" max="6" width="14.5" bestFit="1" customWidth="1"/>
    <col min="7" max="7" width="15.375" bestFit="1" customWidth="1"/>
    <col min="8" max="8" width="14.5" bestFit="1" customWidth="1"/>
    <col min="9" max="9" width="46" bestFit="1" customWidth="1"/>
    <col min="10" max="10" width="13.375" bestFit="1" customWidth="1"/>
    <col min="11" max="11" width="23.5" bestFit="1" customWidth="1"/>
    <col min="12" max="12" width="15" bestFit="1" customWidth="1"/>
    <col min="13" max="13" width="18.125" bestFit="1" customWidth="1"/>
    <col min="14" max="14" width="82.125" bestFit="1" customWidth="1"/>
    <col min="15" max="15" width="125.625" bestFit="1" customWidth="1"/>
    <col min="16" max="16" width="15.25" bestFit="1" customWidth="1"/>
    <col min="17" max="17" width="13.625" bestFit="1" customWidth="1"/>
    <col min="18" max="18" width="13.125" bestFit="1" customWidth="1"/>
    <col min="19" max="23" width="8.625" bestFit="1" customWidth="1"/>
    <col min="25" max="25" width="12.5" bestFit="1" customWidth="1"/>
    <col min="26" max="26" width="13.375" bestFit="1" customWidth="1"/>
  </cols>
  <sheetData>
    <row r="1" spans="1:26" ht="29.45" customHeight="1" x14ac:dyDescent="0.25">
      <c r="A1" s="56" t="s">
        <v>0</v>
      </c>
      <c r="B1" s="46" t="s">
        <v>1</v>
      </c>
      <c r="C1" s="47" t="s">
        <v>119</v>
      </c>
      <c r="D1" s="47" t="s">
        <v>3</v>
      </c>
      <c r="E1" s="47" t="s">
        <v>120</v>
      </c>
      <c r="F1" s="47" t="s">
        <v>5</v>
      </c>
      <c r="G1" s="47" t="s">
        <v>121</v>
      </c>
      <c r="H1" s="47" t="s">
        <v>7</v>
      </c>
      <c r="I1" s="59" t="s">
        <v>122</v>
      </c>
      <c r="J1" s="47" t="s">
        <v>9</v>
      </c>
      <c r="K1" s="59" t="s">
        <v>123</v>
      </c>
      <c r="L1" s="47" t="s">
        <v>11</v>
      </c>
      <c r="M1" s="46" t="s">
        <v>12</v>
      </c>
      <c r="N1" s="47" t="s">
        <v>13</v>
      </c>
      <c r="O1" s="47" t="s">
        <v>14</v>
      </c>
      <c r="P1" s="46" t="s">
        <v>15</v>
      </c>
    </row>
    <row r="2" spans="1:26" ht="16.5" thickBot="1" x14ac:dyDescent="0.3">
      <c r="A2" s="67" t="s">
        <v>16</v>
      </c>
      <c r="B2" s="7" t="s">
        <v>17</v>
      </c>
      <c r="C2" s="15">
        <v>0.2</v>
      </c>
      <c r="D2" s="17">
        <f>(P2*C2)/1000/365*365</f>
        <v>20</v>
      </c>
      <c r="E2" s="15">
        <v>0.2</v>
      </c>
      <c r="F2" s="17">
        <f>(P2*E2)/1000/365*365</f>
        <v>20</v>
      </c>
      <c r="G2" s="15">
        <v>0.2</v>
      </c>
      <c r="H2" s="17">
        <f>(P2*G2)/1000/365*365</f>
        <v>20</v>
      </c>
      <c r="I2" s="15">
        <v>0.2</v>
      </c>
      <c r="J2" s="17">
        <f>(P2*I2)/1000/365*365</f>
        <v>20</v>
      </c>
      <c r="K2" s="15">
        <v>0.2</v>
      </c>
      <c r="L2" s="17">
        <f>(P2*K2)/1000/365*365</f>
        <v>20</v>
      </c>
      <c r="M2" s="37">
        <v>1000000</v>
      </c>
      <c r="N2" s="7" t="s">
        <v>18</v>
      </c>
      <c r="O2" s="9" t="s">
        <v>19</v>
      </c>
      <c r="P2" s="33">
        <v>100000</v>
      </c>
      <c r="Q2" s="47" t="s">
        <v>99</v>
      </c>
      <c r="S2" s="47" t="s">
        <v>2</v>
      </c>
      <c r="T2" s="47" t="s">
        <v>4</v>
      </c>
      <c r="U2" s="47" t="s">
        <v>6</v>
      </c>
      <c r="V2" s="47" t="s">
        <v>8</v>
      </c>
      <c r="W2" s="47" t="s">
        <v>10</v>
      </c>
      <c r="Y2" s="47" t="s">
        <v>20</v>
      </c>
      <c r="Z2" s="47" t="s">
        <v>21</v>
      </c>
    </row>
    <row r="3" spans="1:26" s="60" customFormat="1" ht="15.95" customHeight="1" x14ac:dyDescent="0.25">
      <c r="A3" s="67" t="s">
        <v>16</v>
      </c>
      <c r="B3" s="60" t="s">
        <v>22</v>
      </c>
      <c r="C3" s="61">
        <v>2</v>
      </c>
      <c r="D3" s="62">
        <f>IF(P3=0, 0, (P3*C3)/1000/365*365)</f>
        <v>0</v>
      </c>
      <c r="E3" s="61">
        <v>2</v>
      </c>
      <c r="F3" s="62">
        <f>IF(P3=0, 0, (P3*E3)/1000/365*365)</f>
        <v>0</v>
      </c>
      <c r="G3" s="61">
        <v>2</v>
      </c>
      <c r="H3" s="62">
        <f>IF(P3=0, 0, (P3*G3)/1000/365*365)</f>
        <v>0</v>
      </c>
      <c r="I3" s="61">
        <v>3.55</v>
      </c>
      <c r="J3" s="62">
        <f>IF(P3=0, 0, (P3*I3)/1000/365*365)</f>
        <v>0</v>
      </c>
      <c r="K3" s="61">
        <v>0.55000000000000004</v>
      </c>
      <c r="L3" s="62">
        <f>IF(P3=0, 0, (P3*K3)/1000/365*365)</f>
        <v>0</v>
      </c>
      <c r="M3" s="73">
        <f>M2*0.9</f>
        <v>900000</v>
      </c>
      <c r="N3" s="60" t="s">
        <v>23</v>
      </c>
      <c r="O3" s="65" t="s">
        <v>24</v>
      </c>
      <c r="P3" s="66">
        <f>IF(Y3="SI", P2, 0)</f>
        <v>0</v>
      </c>
      <c r="Q3" s="74" t="s">
        <v>88</v>
      </c>
      <c r="R3" s="79" t="s">
        <v>25</v>
      </c>
      <c r="S3" s="76">
        <f>D45</f>
        <v>200.15800000000002</v>
      </c>
      <c r="T3" s="76">
        <f>F45</f>
        <v>200.15800000000002</v>
      </c>
      <c r="U3" s="76">
        <f>H45</f>
        <v>200.15800000000002</v>
      </c>
      <c r="V3" s="76">
        <f>J45</f>
        <v>200.15800000000002</v>
      </c>
      <c r="W3" s="76">
        <f>L45</f>
        <v>204.68199999999999</v>
      </c>
      <c r="Y3" s="65" t="s">
        <v>26</v>
      </c>
      <c r="Z3" s="65" t="s">
        <v>26</v>
      </c>
    </row>
    <row r="4" spans="1:26" ht="16.5" thickBot="1" x14ac:dyDescent="0.3">
      <c r="A4" s="67" t="s">
        <v>16</v>
      </c>
      <c r="B4" s="7" t="s">
        <v>27</v>
      </c>
      <c r="C4" s="15">
        <v>0.55000000000000004</v>
      </c>
      <c r="D4" s="17">
        <f>IF(P4=0, 0, (P3*C4)/1000/365*365)</f>
        <v>0</v>
      </c>
      <c r="E4" s="15">
        <v>0.8</v>
      </c>
      <c r="F4" s="17">
        <f>IF(P3=0, 0, (P4*E4)/1000/365*365)</f>
        <v>0</v>
      </c>
      <c r="G4" s="15">
        <v>0.55000000000000004</v>
      </c>
      <c r="H4" s="17">
        <f>IF(P3=0, 0, (P4*G4)/1000/365*365)</f>
        <v>0</v>
      </c>
      <c r="I4" s="15">
        <v>0.55000000000000004</v>
      </c>
      <c r="J4" s="17">
        <f>IF(P4=0, 0, (P4*I4)/1000/365*365)</f>
        <v>0</v>
      </c>
      <c r="K4" s="15">
        <v>0.55000000000000004</v>
      </c>
      <c r="L4" s="17">
        <f>IF(P4=0, 0, (P4*K4)/1000/365*365)</f>
        <v>0</v>
      </c>
      <c r="M4" s="37">
        <f>M2*0.9</f>
        <v>900000</v>
      </c>
      <c r="N4" s="7" t="s">
        <v>28</v>
      </c>
      <c r="O4" s="9" t="s">
        <v>29</v>
      </c>
      <c r="P4" s="11">
        <f>IF(Z3="SI", P2, 0)</f>
        <v>0</v>
      </c>
      <c r="Q4" s="42"/>
      <c r="R4" s="79"/>
      <c r="S4" s="77"/>
      <c r="T4" s="77"/>
      <c r="U4" s="77"/>
      <c r="V4" s="77"/>
      <c r="W4" s="77"/>
    </row>
    <row r="5" spans="1:26" x14ac:dyDescent="0.25">
      <c r="A5" s="67" t="s">
        <v>16</v>
      </c>
      <c r="B5" s="7" t="s">
        <v>108</v>
      </c>
      <c r="C5" s="15">
        <v>3</v>
      </c>
      <c r="D5" s="17">
        <f>(P5*C5)/1000/365*365</f>
        <v>0</v>
      </c>
      <c r="E5" s="15">
        <v>3</v>
      </c>
      <c r="F5" s="17">
        <f>(P5*E5)/1000/365*365</f>
        <v>0</v>
      </c>
      <c r="G5" s="15">
        <v>3</v>
      </c>
      <c r="H5" s="17">
        <f>(P5*G5)/1000/365*365</f>
        <v>0</v>
      </c>
      <c r="I5" s="15">
        <v>5.25</v>
      </c>
      <c r="J5" s="17">
        <f>(P5*I5)/1000/365*365</f>
        <v>0</v>
      </c>
      <c r="K5" s="15">
        <v>3</v>
      </c>
      <c r="L5" s="17">
        <f>(P5*K5)/1000/365*365</f>
        <v>0</v>
      </c>
      <c r="M5" s="37">
        <f>M2*0.2</f>
        <v>200000</v>
      </c>
      <c r="N5" s="7" t="s">
        <v>30</v>
      </c>
      <c r="O5" s="9" t="s">
        <v>31</v>
      </c>
      <c r="P5" s="33">
        <v>0</v>
      </c>
      <c r="Q5" s="42"/>
    </row>
    <row r="6" spans="1:26" x14ac:dyDescent="0.25">
      <c r="C6" s="16"/>
      <c r="D6" s="18"/>
      <c r="E6" s="16"/>
      <c r="F6" s="18"/>
      <c r="G6" s="16"/>
      <c r="H6" s="18"/>
      <c r="I6" s="16"/>
      <c r="J6" s="18"/>
      <c r="K6" s="16"/>
      <c r="L6" s="18"/>
      <c r="M6" s="40"/>
      <c r="O6" s="3"/>
      <c r="P6" s="12"/>
      <c r="Q6" s="42"/>
    </row>
    <row r="7" spans="1:26" x14ac:dyDescent="0.25">
      <c r="A7" s="67" t="s">
        <v>32</v>
      </c>
      <c r="B7" s="7" t="s">
        <v>17</v>
      </c>
      <c r="C7" s="15">
        <v>0.2</v>
      </c>
      <c r="D7" s="17">
        <f>(P7*C7)/1000/365*365</f>
        <v>10</v>
      </c>
      <c r="E7" s="15">
        <v>0.2</v>
      </c>
      <c r="F7" s="17">
        <f>(P7*E7)/1000/365*365</f>
        <v>10</v>
      </c>
      <c r="G7" s="15">
        <v>0.2</v>
      </c>
      <c r="H7" s="17">
        <f>(P7*G7)/1000/365*365</f>
        <v>10</v>
      </c>
      <c r="I7" s="15">
        <v>0.2</v>
      </c>
      <c r="J7" s="17">
        <f>(P7*I7)/1000/365*365</f>
        <v>10</v>
      </c>
      <c r="K7" s="15">
        <v>0.2</v>
      </c>
      <c r="L7" s="17">
        <f>(P7*K7)/1000/365*365</f>
        <v>10</v>
      </c>
      <c r="M7" s="37">
        <f>M2*0.4</f>
        <v>400000</v>
      </c>
      <c r="N7" s="7" t="s">
        <v>33</v>
      </c>
      <c r="O7" s="9" t="s">
        <v>34</v>
      </c>
      <c r="P7" s="33">
        <v>50000</v>
      </c>
      <c r="Q7" s="47" t="s">
        <v>100</v>
      </c>
    </row>
    <row r="8" spans="1:26" x14ac:dyDescent="0.25">
      <c r="A8" s="67" t="s">
        <v>32</v>
      </c>
      <c r="B8" t="s">
        <v>22</v>
      </c>
      <c r="C8" s="16">
        <v>2</v>
      </c>
      <c r="D8" s="18">
        <f>IF(P8=0, 0, (P8*C8)/1000/365*365)</f>
        <v>0</v>
      </c>
      <c r="E8" s="16">
        <v>2</v>
      </c>
      <c r="F8" s="18">
        <f>IF(P8=0, 0, (P8*E8)/1000/365*365)</f>
        <v>0</v>
      </c>
      <c r="G8" s="16">
        <v>2</v>
      </c>
      <c r="H8" s="18">
        <f>IF(P8=0, 0, (P8*G8)/1000/365*365)</f>
        <v>0</v>
      </c>
      <c r="I8" s="16">
        <v>3.55</v>
      </c>
      <c r="J8" s="18">
        <f>IF(P8=0, 0, (P8*I8)/1000/365*365)</f>
        <v>0</v>
      </c>
      <c r="K8" s="16">
        <v>0.55000000000000004</v>
      </c>
      <c r="L8" s="18">
        <f>IF(P8=0, 0, (P8*K8)/1000/365*365)</f>
        <v>0</v>
      </c>
      <c r="M8" s="38">
        <f>M7*0.9</f>
        <v>360000</v>
      </c>
      <c r="N8" t="s">
        <v>23</v>
      </c>
      <c r="O8" s="3" t="s">
        <v>24</v>
      </c>
      <c r="P8" s="12">
        <f>IF(Y3="SI", P7,0)</f>
        <v>0</v>
      </c>
      <c r="Q8" s="42"/>
    </row>
    <row r="9" spans="1:26" x14ac:dyDescent="0.25">
      <c r="A9" s="67" t="s">
        <v>32</v>
      </c>
      <c r="B9" s="7" t="s">
        <v>27</v>
      </c>
      <c r="C9" s="15">
        <v>0.55000000000000004</v>
      </c>
      <c r="D9" s="17">
        <f>IF(P9=0, 0, (P9*C9)/1000/365*365)</f>
        <v>0</v>
      </c>
      <c r="E9" s="15">
        <v>0.4</v>
      </c>
      <c r="F9" s="17">
        <f>IF(P9=0, 0, (P9*E9)/1000/365*365)</f>
        <v>0</v>
      </c>
      <c r="G9" s="15">
        <v>0.55000000000000004</v>
      </c>
      <c r="H9" s="17">
        <f>IF(P9=0, 0, (P9*G9)/1000/365*365)</f>
        <v>0</v>
      </c>
      <c r="I9" s="15">
        <v>0.25</v>
      </c>
      <c r="J9" s="17">
        <f>IF(P9=0, 0, (P9*I9)/1000/365*365)</f>
        <v>0</v>
      </c>
      <c r="K9" s="15">
        <v>0.55000000000000004</v>
      </c>
      <c r="L9" s="17">
        <f>IF(P9=0, 0, (P9*K9)/1000/365*365)</f>
        <v>0</v>
      </c>
      <c r="M9" s="37">
        <f>M8</f>
        <v>360000</v>
      </c>
      <c r="N9" s="7" t="s">
        <v>28</v>
      </c>
      <c r="O9" s="9" t="s">
        <v>29</v>
      </c>
      <c r="P9" s="11">
        <f>IF(Z3="SI", P7,0)</f>
        <v>0</v>
      </c>
      <c r="Q9" s="42"/>
    </row>
    <row r="10" spans="1:26" x14ac:dyDescent="0.25">
      <c r="A10" s="67" t="s">
        <v>32</v>
      </c>
      <c r="B10" s="7" t="s">
        <v>35</v>
      </c>
      <c r="C10" s="15">
        <v>3</v>
      </c>
      <c r="D10" s="17">
        <f>(P10*C10)/1000/365*365</f>
        <v>0</v>
      </c>
      <c r="E10" s="15">
        <v>3</v>
      </c>
      <c r="F10" s="17">
        <f>(P10*E10)/1000/365*365</f>
        <v>0</v>
      </c>
      <c r="G10" s="15">
        <v>3</v>
      </c>
      <c r="H10" s="17">
        <f>(P10*G10)/1000/365*365</f>
        <v>0</v>
      </c>
      <c r="I10" s="15">
        <v>3</v>
      </c>
      <c r="J10" s="17">
        <f>(P10*I10)/1000/365*365</f>
        <v>0</v>
      </c>
      <c r="K10" s="15">
        <v>3</v>
      </c>
      <c r="L10" s="17">
        <f>(P10*K10)/1000/365*365</f>
        <v>0</v>
      </c>
      <c r="M10" s="37">
        <v>50000</v>
      </c>
      <c r="N10" s="7" t="s">
        <v>36</v>
      </c>
      <c r="O10" s="9" t="s">
        <v>34</v>
      </c>
      <c r="P10" s="33">
        <v>0</v>
      </c>
      <c r="Q10" s="42"/>
    </row>
    <row r="11" spans="1:26" x14ac:dyDescent="0.25">
      <c r="C11" s="16"/>
      <c r="D11" s="18"/>
      <c r="E11" s="16"/>
      <c r="F11" s="18"/>
      <c r="G11" s="16"/>
      <c r="H11" s="18"/>
      <c r="I11" s="16"/>
      <c r="J11" s="18"/>
      <c r="K11" s="16"/>
      <c r="L11" s="18"/>
      <c r="M11" s="40"/>
      <c r="O11" s="3"/>
      <c r="P11" s="12"/>
      <c r="Q11" s="42"/>
    </row>
    <row r="12" spans="1:26" s="60" customFormat="1" x14ac:dyDescent="0.25">
      <c r="A12" s="68" t="s">
        <v>37</v>
      </c>
      <c r="B12" s="60" t="s">
        <v>16</v>
      </c>
      <c r="C12" s="61">
        <v>0.05</v>
      </c>
      <c r="D12" s="62">
        <f t="shared" ref="D12:D17" si="0">(P12*C12)/1000/365*365</f>
        <v>0.5</v>
      </c>
      <c r="E12" s="61">
        <v>0.05</v>
      </c>
      <c r="F12" s="62">
        <f t="shared" ref="F12:F17" si="1">(P12*E12)/1000/365*365</f>
        <v>0.5</v>
      </c>
      <c r="G12" s="61">
        <v>0.05</v>
      </c>
      <c r="H12" s="62">
        <f t="shared" ref="H12:H17" si="2">(P12*G12)/1000/365*365</f>
        <v>0.5</v>
      </c>
      <c r="I12" s="61">
        <v>0.05</v>
      </c>
      <c r="J12" s="62">
        <f t="shared" ref="J12:J17" si="3">(P12*I12)/1000/365*365</f>
        <v>0.5</v>
      </c>
      <c r="K12" s="61">
        <v>0.05</v>
      </c>
      <c r="L12" s="62">
        <f t="shared" ref="L12:L17" si="4">(P12*K12)/1000/365*365</f>
        <v>0.5</v>
      </c>
      <c r="M12" s="75">
        <f>M2*0.1</f>
        <v>100000</v>
      </c>
      <c r="N12" s="60" t="s">
        <v>38</v>
      </c>
      <c r="O12" s="65" t="s">
        <v>34</v>
      </c>
      <c r="P12" s="66">
        <f>P2*0.1</f>
        <v>10000</v>
      </c>
      <c r="Q12" s="74"/>
    </row>
    <row r="13" spans="1:26" x14ac:dyDescent="0.25">
      <c r="A13" s="68" t="s">
        <v>37</v>
      </c>
      <c r="B13" t="s">
        <v>39</v>
      </c>
      <c r="C13" s="16">
        <v>0.5</v>
      </c>
      <c r="D13" s="18">
        <f t="shared" si="0"/>
        <v>0</v>
      </c>
      <c r="E13" s="16">
        <v>0.5</v>
      </c>
      <c r="F13" s="18">
        <f t="shared" si="1"/>
        <v>0</v>
      </c>
      <c r="G13" s="16">
        <v>0.5</v>
      </c>
      <c r="H13" s="18">
        <f t="shared" si="2"/>
        <v>0</v>
      </c>
      <c r="I13" s="16">
        <v>0.6</v>
      </c>
      <c r="J13" s="18">
        <f t="shared" si="3"/>
        <v>0</v>
      </c>
      <c r="K13" s="16">
        <v>0.5</v>
      </c>
      <c r="L13" s="18">
        <f t="shared" si="4"/>
        <v>0</v>
      </c>
      <c r="M13" s="39">
        <f>M2*0.1</f>
        <v>100000</v>
      </c>
      <c r="N13" t="s">
        <v>38</v>
      </c>
      <c r="O13" s="3" t="s">
        <v>34</v>
      </c>
      <c r="P13" s="12">
        <f>IF(Y3="SI", P2*0.1, 0)</f>
        <v>0</v>
      </c>
      <c r="Q13" s="42"/>
    </row>
    <row r="14" spans="1:26" x14ac:dyDescent="0.25">
      <c r="A14" s="68" t="s">
        <v>37</v>
      </c>
      <c r="B14" s="7" t="s">
        <v>40</v>
      </c>
      <c r="C14" s="15">
        <v>0.20630000000000001</v>
      </c>
      <c r="D14" s="17">
        <f t="shared" si="0"/>
        <v>0</v>
      </c>
      <c r="E14" s="15">
        <v>0.20630000000000001</v>
      </c>
      <c r="F14" s="17">
        <f t="shared" si="1"/>
        <v>0</v>
      </c>
      <c r="G14" s="15">
        <v>0.2</v>
      </c>
      <c r="H14" s="17">
        <f t="shared" si="2"/>
        <v>0</v>
      </c>
      <c r="I14" s="15">
        <v>0.20630000000000001</v>
      </c>
      <c r="J14" s="17">
        <f t="shared" si="3"/>
        <v>0</v>
      </c>
      <c r="K14" s="15">
        <v>0.2</v>
      </c>
      <c r="L14" s="17">
        <f t="shared" si="4"/>
        <v>0</v>
      </c>
      <c r="M14" s="41">
        <f>M2*0.1</f>
        <v>100000</v>
      </c>
      <c r="N14" s="7" t="s">
        <v>38</v>
      </c>
      <c r="O14" s="9" t="s">
        <v>34</v>
      </c>
      <c r="P14" s="11">
        <f>IF(Z3="SI", P2*0.1, 0)</f>
        <v>0</v>
      </c>
      <c r="Q14" s="42"/>
    </row>
    <row r="15" spans="1:26" x14ac:dyDescent="0.25">
      <c r="A15" s="68" t="s">
        <v>37</v>
      </c>
      <c r="B15" t="s">
        <v>32</v>
      </c>
      <c r="C15" s="16">
        <v>0.05</v>
      </c>
      <c r="D15" s="18">
        <f t="shared" si="0"/>
        <v>0.25</v>
      </c>
      <c r="E15" s="16">
        <v>0.05</v>
      </c>
      <c r="F15" s="18">
        <f t="shared" si="1"/>
        <v>0.25</v>
      </c>
      <c r="G15" s="16">
        <v>0.05</v>
      </c>
      <c r="H15" s="18">
        <f t="shared" si="2"/>
        <v>0.25</v>
      </c>
      <c r="I15" s="16">
        <v>0.05</v>
      </c>
      <c r="J15" s="18">
        <f t="shared" si="3"/>
        <v>0.25</v>
      </c>
      <c r="K15" s="16">
        <v>0.05</v>
      </c>
      <c r="L15" s="18">
        <f t="shared" si="4"/>
        <v>0.25</v>
      </c>
      <c r="M15" s="39">
        <f>M7*0.1</f>
        <v>40000</v>
      </c>
      <c r="N15" t="s">
        <v>41</v>
      </c>
      <c r="O15" s="3" t="s">
        <v>34</v>
      </c>
      <c r="P15" s="12">
        <f>P7*0.1</f>
        <v>5000</v>
      </c>
      <c r="Q15" s="42"/>
    </row>
    <row r="16" spans="1:26" x14ac:dyDescent="0.25">
      <c r="A16" s="68" t="s">
        <v>37</v>
      </c>
      <c r="B16" s="7" t="s">
        <v>42</v>
      </c>
      <c r="C16" s="15">
        <v>0.5</v>
      </c>
      <c r="D16" s="17">
        <f t="shared" si="0"/>
        <v>0</v>
      </c>
      <c r="E16" s="15">
        <v>0.5</v>
      </c>
      <c r="F16" s="17">
        <f t="shared" si="1"/>
        <v>0</v>
      </c>
      <c r="G16" s="15">
        <v>0.5</v>
      </c>
      <c r="H16" s="17">
        <f t="shared" si="2"/>
        <v>0</v>
      </c>
      <c r="I16" s="15">
        <v>0.6</v>
      </c>
      <c r="J16" s="17">
        <f t="shared" si="3"/>
        <v>0</v>
      </c>
      <c r="K16" s="15">
        <v>0.5</v>
      </c>
      <c r="L16" s="17">
        <f t="shared" si="4"/>
        <v>0</v>
      </c>
      <c r="M16" s="41">
        <f>M7*0.1</f>
        <v>40000</v>
      </c>
      <c r="N16" s="7" t="s">
        <v>41</v>
      </c>
      <c r="O16" s="9" t="s">
        <v>34</v>
      </c>
      <c r="P16" s="11">
        <f>IF(Y3="SI", P7*0.1, 0)</f>
        <v>0</v>
      </c>
      <c r="Q16" s="42"/>
    </row>
    <row r="17" spans="1:17" x14ac:dyDescent="0.25">
      <c r="A17" s="68" t="s">
        <v>37</v>
      </c>
      <c r="B17" t="s">
        <v>43</v>
      </c>
      <c r="C17" s="16">
        <v>0.20630000000000001</v>
      </c>
      <c r="D17" s="18">
        <f t="shared" si="0"/>
        <v>0</v>
      </c>
      <c r="E17" s="16">
        <v>0.20630000000000001</v>
      </c>
      <c r="F17" s="18">
        <f t="shared" si="1"/>
        <v>0</v>
      </c>
      <c r="G17" s="16">
        <v>0.2</v>
      </c>
      <c r="H17" s="18">
        <f t="shared" si="2"/>
        <v>0</v>
      </c>
      <c r="I17" s="16">
        <v>0.2</v>
      </c>
      <c r="J17" s="18">
        <f t="shared" si="3"/>
        <v>0</v>
      </c>
      <c r="K17" s="16">
        <v>0.2</v>
      </c>
      <c r="L17" s="18">
        <f t="shared" si="4"/>
        <v>0</v>
      </c>
      <c r="M17" s="39">
        <f>M7*0.1</f>
        <v>40000</v>
      </c>
      <c r="N17" t="s">
        <v>41</v>
      </c>
      <c r="O17" s="3" t="s">
        <v>34</v>
      </c>
      <c r="P17" s="12">
        <f>IF(Z3="SI", P7*0.1, 0)</f>
        <v>0</v>
      </c>
      <c r="Q17" s="42"/>
    </row>
    <row r="18" spans="1:17" x14ac:dyDescent="0.25">
      <c r="C18" s="16"/>
      <c r="D18" s="18"/>
      <c r="E18" s="16"/>
      <c r="F18" s="18"/>
      <c r="G18" s="16"/>
      <c r="H18" s="18"/>
      <c r="I18" s="16"/>
      <c r="J18" s="18"/>
      <c r="K18" s="16"/>
      <c r="L18" s="18"/>
      <c r="M18" s="40"/>
      <c r="O18" s="3"/>
      <c r="P18" s="12"/>
      <c r="Q18" s="42"/>
    </row>
    <row r="19" spans="1:17" x14ac:dyDescent="0.25">
      <c r="A19" s="67" t="s">
        <v>44</v>
      </c>
      <c r="B19" s="7" t="s">
        <v>45</v>
      </c>
      <c r="C19" s="15">
        <v>0.24</v>
      </c>
      <c r="D19" s="17">
        <f>(P19*C19)/1000/365*365</f>
        <v>3.6</v>
      </c>
      <c r="E19" s="15">
        <v>0.24</v>
      </c>
      <c r="F19" s="17">
        <f>(P19*E19)/1000/365*365</f>
        <v>3.6</v>
      </c>
      <c r="G19" s="15">
        <v>0.24</v>
      </c>
      <c r="H19" s="17">
        <f>(P19*G19)/1000/365*365</f>
        <v>3.6</v>
      </c>
      <c r="I19" s="15">
        <v>0.24</v>
      </c>
      <c r="J19" s="17">
        <f>(P19*I19)/1000/365*365</f>
        <v>3.6</v>
      </c>
      <c r="K19" s="15">
        <v>0.5</v>
      </c>
      <c r="L19" s="17">
        <f>(P19*K19)/1000/365*365</f>
        <v>7.5</v>
      </c>
      <c r="M19" s="37">
        <f>(M2+M7)*0.1</f>
        <v>140000</v>
      </c>
      <c r="N19" s="7" t="s">
        <v>46</v>
      </c>
      <c r="O19" s="9" t="s">
        <v>34</v>
      </c>
      <c r="P19" s="33">
        <v>15000</v>
      </c>
      <c r="Q19" s="47" t="s">
        <v>101</v>
      </c>
    </row>
    <row r="20" spans="1:17" x14ac:dyDescent="0.25">
      <c r="A20" s="67" t="s">
        <v>44</v>
      </c>
      <c r="B20" t="s">
        <v>47</v>
      </c>
      <c r="C20" s="16">
        <v>2.4</v>
      </c>
      <c r="D20" s="18">
        <f>(P20*C20)/1000/365*365</f>
        <v>0</v>
      </c>
      <c r="E20" s="16">
        <v>2</v>
      </c>
      <c r="F20" s="18">
        <f>(P20*E20)/1000/365*365</f>
        <v>0</v>
      </c>
      <c r="G20" s="16">
        <v>2</v>
      </c>
      <c r="H20" s="18">
        <f>(P20*G20)/1000/365*365</f>
        <v>0</v>
      </c>
      <c r="I20" s="16">
        <v>3.5</v>
      </c>
      <c r="J20" s="18">
        <f>(P20*I20)/1000/365*365</f>
        <v>0</v>
      </c>
      <c r="K20" s="16">
        <v>2</v>
      </c>
      <c r="L20" s="18">
        <f>(P20*K20)/1000/365*365</f>
        <v>0</v>
      </c>
      <c r="M20" s="38">
        <f>M19</f>
        <v>140000</v>
      </c>
      <c r="N20" t="s">
        <v>46</v>
      </c>
      <c r="O20" s="3" t="s">
        <v>34</v>
      </c>
      <c r="P20" s="34">
        <f>IF(Y3="SI", P19, 0)</f>
        <v>0</v>
      </c>
      <c r="Q20" s="45" t="s">
        <v>106</v>
      </c>
    </row>
    <row r="21" spans="1:17" x14ac:dyDescent="0.25">
      <c r="A21" s="67" t="s">
        <v>44</v>
      </c>
      <c r="B21" s="7" t="s">
        <v>48</v>
      </c>
      <c r="C21" s="15">
        <v>0.66</v>
      </c>
      <c r="D21" s="17">
        <f>(P21*C21)/1000/365*365</f>
        <v>0</v>
      </c>
      <c r="E21" s="15">
        <v>0.76666999999999996</v>
      </c>
      <c r="F21" s="17">
        <f>(P21*E21)/1000/365*365</f>
        <v>0</v>
      </c>
      <c r="G21" s="15">
        <v>0.66</v>
      </c>
      <c r="H21" s="17">
        <f>(P21*G21)/1000/365*365</f>
        <v>0</v>
      </c>
      <c r="I21" s="15">
        <v>0.66</v>
      </c>
      <c r="J21" s="17">
        <f>(P21*I21)/1000/365*365</f>
        <v>0</v>
      </c>
      <c r="K21" s="15">
        <v>0.66</v>
      </c>
      <c r="L21" s="17">
        <f>(P21*K21)/1000/365*365</f>
        <v>0</v>
      </c>
      <c r="M21" s="37">
        <f>M19</f>
        <v>140000</v>
      </c>
      <c r="N21" s="7" t="s">
        <v>46</v>
      </c>
      <c r="O21" s="9" t="s">
        <v>34</v>
      </c>
      <c r="P21" s="33">
        <f>IF(Z3="SI", P19, 0)</f>
        <v>0</v>
      </c>
      <c r="Q21" s="42"/>
    </row>
    <row r="22" spans="1:17" x14ac:dyDescent="0.25">
      <c r="C22" s="16"/>
      <c r="D22" s="18"/>
      <c r="E22" s="16"/>
      <c r="F22" s="18"/>
      <c r="G22" s="16"/>
      <c r="H22" s="18"/>
      <c r="I22" s="16"/>
      <c r="J22" s="18"/>
      <c r="K22" s="16"/>
      <c r="L22" s="18"/>
      <c r="M22" s="40"/>
      <c r="O22" s="3"/>
      <c r="P22" s="12"/>
      <c r="Q22" s="42"/>
    </row>
    <row r="23" spans="1:17" x14ac:dyDescent="0.25">
      <c r="A23" s="67" t="s">
        <v>49</v>
      </c>
      <c r="B23" s="7" t="s">
        <v>50</v>
      </c>
      <c r="C23" s="15">
        <v>0.1</v>
      </c>
      <c r="D23" s="17">
        <f>(P23*C23)/1000/365*365</f>
        <v>50</v>
      </c>
      <c r="E23" s="15">
        <v>0.1</v>
      </c>
      <c r="F23" s="17">
        <f>(P23*E23)/1000/365*365</f>
        <v>50</v>
      </c>
      <c r="G23" s="15">
        <v>0.1</v>
      </c>
      <c r="H23" s="17">
        <f>(P23*G23)/1000/365*365</f>
        <v>50</v>
      </c>
      <c r="I23" s="15">
        <v>0.1</v>
      </c>
      <c r="J23" s="17">
        <f>(P23*I23)/1000/365*365</f>
        <v>50</v>
      </c>
      <c r="K23" s="15">
        <v>0.1</v>
      </c>
      <c r="L23" s="17">
        <f>(P23*K23)/1000/365*365</f>
        <v>50</v>
      </c>
      <c r="M23" s="37">
        <v>1000000</v>
      </c>
      <c r="N23" s="7" t="s">
        <v>18</v>
      </c>
      <c r="O23" s="9" t="s">
        <v>34</v>
      </c>
      <c r="P23" s="33">
        <v>500000</v>
      </c>
      <c r="Q23" s="47" t="s">
        <v>102</v>
      </c>
    </row>
    <row r="24" spans="1:17" x14ac:dyDescent="0.25">
      <c r="A24" s="67" t="s">
        <v>49</v>
      </c>
      <c r="B24" t="s">
        <v>51</v>
      </c>
      <c r="C24" s="16">
        <v>0.2</v>
      </c>
      <c r="D24" s="18">
        <f>(P24*C24)/100/365*365</f>
        <v>0</v>
      </c>
      <c r="E24" s="16">
        <v>0.2</v>
      </c>
      <c r="F24" s="18">
        <f>(P24*E24)/100/365*365</f>
        <v>0</v>
      </c>
      <c r="G24" s="16">
        <v>0.2</v>
      </c>
      <c r="H24" s="18">
        <f>(P24*G24)/100/365*365</f>
        <v>0</v>
      </c>
      <c r="I24" s="16">
        <v>0.2</v>
      </c>
      <c r="J24" s="18">
        <f>(P24*I24)/100/365*365</f>
        <v>0</v>
      </c>
      <c r="K24" s="16">
        <v>0.2</v>
      </c>
      <c r="L24" s="18">
        <f>(P24*K24)/100/365*365</f>
        <v>0</v>
      </c>
      <c r="M24" s="38">
        <v>2000</v>
      </c>
      <c r="N24" t="s">
        <v>52</v>
      </c>
      <c r="O24" s="3" t="s">
        <v>34</v>
      </c>
      <c r="P24" s="12">
        <v>0</v>
      </c>
      <c r="Q24" s="42"/>
    </row>
    <row r="25" spans="1:17" x14ac:dyDescent="0.25">
      <c r="A25" s="67" t="s">
        <v>53</v>
      </c>
      <c r="B25" t="s">
        <v>54</v>
      </c>
      <c r="C25" s="16">
        <v>0.9</v>
      </c>
      <c r="D25" s="18">
        <f>P25*C25</f>
        <v>0</v>
      </c>
      <c r="E25" s="16">
        <v>0.9</v>
      </c>
      <c r="F25" s="18">
        <f>P25*E25</f>
        <v>0</v>
      </c>
      <c r="G25" s="16">
        <v>0.9</v>
      </c>
      <c r="H25" s="18">
        <f>P25*G25</f>
        <v>0</v>
      </c>
      <c r="I25" s="16">
        <v>0.9</v>
      </c>
      <c r="J25" s="18">
        <f>P25*I25</f>
        <v>0</v>
      </c>
      <c r="K25" s="16">
        <v>0.9</v>
      </c>
      <c r="L25" s="18">
        <f>P25*K25</f>
        <v>0</v>
      </c>
      <c r="M25" s="38">
        <v>10000</v>
      </c>
      <c r="N25" t="s">
        <v>55</v>
      </c>
      <c r="O25" s="3" t="s">
        <v>34</v>
      </c>
      <c r="P25" s="34">
        <v>0</v>
      </c>
      <c r="Q25" s="42"/>
    </row>
    <row r="26" spans="1:17" x14ac:dyDescent="0.25">
      <c r="C26" s="16"/>
      <c r="D26" s="18"/>
      <c r="E26" s="16"/>
      <c r="F26" s="18"/>
      <c r="G26" s="16"/>
      <c r="H26" s="18"/>
      <c r="I26" s="16"/>
      <c r="J26" s="18"/>
      <c r="K26" s="16"/>
      <c r="L26" s="18"/>
      <c r="M26" s="40"/>
      <c r="O26" s="3"/>
      <c r="P26" s="13"/>
      <c r="Q26" s="42"/>
    </row>
    <row r="27" spans="1:17" x14ac:dyDescent="0.25">
      <c r="A27" s="67" t="s">
        <v>56</v>
      </c>
      <c r="B27" s="7" t="s">
        <v>56</v>
      </c>
      <c r="C27" s="15">
        <v>1.8</v>
      </c>
      <c r="D27" s="17">
        <f>(P27*C27)/100/365*365</f>
        <v>18</v>
      </c>
      <c r="E27" s="15">
        <v>1.8</v>
      </c>
      <c r="F27" s="17">
        <f>(P27*E27)/100/365*365</f>
        <v>18</v>
      </c>
      <c r="G27" s="15">
        <v>1.8</v>
      </c>
      <c r="H27" s="17">
        <f>(P27*G27)/100/365*365</f>
        <v>18</v>
      </c>
      <c r="I27" s="15">
        <v>1.8</v>
      </c>
      <c r="J27" s="17">
        <f>(P27*I27)/100/365*365</f>
        <v>18</v>
      </c>
      <c r="K27" s="15">
        <v>1.8</v>
      </c>
      <c r="L27" s="17">
        <f>(P27*K27)/100/365*365</f>
        <v>18</v>
      </c>
      <c r="M27" s="37">
        <f>(M2+M7)*0.05</f>
        <v>70000</v>
      </c>
      <c r="N27" s="7" t="s">
        <v>57</v>
      </c>
      <c r="O27" s="9" t="s">
        <v>58</v>
      </c>
      <c r="P27" s="33">
        <v>1000</v>
      </c>
      <c r="Q27" s="47" t="s">
        <v>103</v>
      </c>
    </row>
    <row r="28" spans="1:17" x14ac:dyDescent="0.25">
      <c r="C28" s="16"/>
      <c r="D28" s="18"/>
      <c r="E28" s="16"/>
      <c r="F28" s="18"/>
      <c r="G28" s="16"/>
      <c r="H28" s="18"/>
      <c r="I28" s="16"/>
      <c r="J28" s="18"/>
      <c r="K28" s="16"/>
      <c r="L28" s="18"/>
      <c r="M28" s="39"/>
      <c r="O28" s="3"/>
      <c r="P28" s="12"/>
      <c r="Q28" s="42"/>
    </row>
    <row r="29" spans="1:17" x14ac:dyDescent="0.25">
      <c r="A29" s="67" t="s">
        <v>59</v>
      </c>
      <c r="B29" s="7" t="s">
        <v>60</v>
      </c>
      <c r="C29" s="15">
        <v>0.64</v>
      </c>
      <c r="D29" s="17">
        <f>(P29*C29)/1000/365*365</f>
        <v>3.2000000000000006</v>
      </c>
      <c r="E29" s="15">
        <v>0.64</v>
      </c>
      <c r="F29" s="17">
        <f>(P29*E29)/1000/365*365</f>
        <v>3.2000000000000006</v>
      </c>
      <c r="G29" s="15">
        <v>0.64</v>
      </c>
      <c r="H29" s="17">
        <f>(P29*G29)/1000/365*365</f>
        <v>3.2000000000000006</v>
      </c>
      <c r="I29" s="15">
        <v>0.64</v>
      </c>
      <c r="J29" s="17">
        <f>(P29*I29)/1000/365*365</f>
        <v>3.2000000000000006</v>
      </c>
      <c r="K29" s="15">
        <v>0.64</v>
      </c>
      <c r="L29" s="17">
        <f>(P29*K29)/1000/365*365</f>
        <v>3.2000000000000006</v>
      </c>
      <c r="M29" s="37">
        <f>M7*0.3</f>
        <v>120000</v>
      </c>
      <c r="N29" s="7" t="s">
        <v>61</v>
      </c>
      <c r="O29" s="9" t="s">
        <v>62</v>
      </c>
      <c r="P29" s="33">
        <v>5000</v>
      </c>
      <c r="Q29" s="47" t="s">
        <v>104</v>
      </c>
    </row>
    <row r="30" spans="1:17" x14ac:dyDescent="0.25">
      <c r="C30" s="16"/>
      <c r="D30" s="18"/>
      <c r="E30" s="16"/>
      <c r="F30" s="18"/>
      <c r="G30" s="16"/>
      <c r="H30" s="18"/>
      <c r="I30" s="16"/>
      <c r="J30" s="18"/>
      <c r="K30" s="16"/>
      <c r="L30" s="18"/>
      <c r="M30" s="40"/>
      <c r="O30" s="3"/>
      <c r="P30" s="12"/>
      <c r="Q30" s="42"/>
    </row>
    <row r="31" spans="1:17" x14ac:dyDescent="0.25">
      <c r="A31" s="67" t="s">
        <v>63</v>
      </c>
      <c r="B31" s="7" t="s">
        <v>64</v>
      </c>
      <c r="C31" s="15">
        <v>0</v>
      </c>
      <c r="D31" s="17">
        <v>0</v>
      </c>
      <c r="E31" s="15">
        <v>0</v>
      </c>
      <c r="F31" s="17">
        <v>0</v>
      </c>
      <c r="G31" s="15">
        <v>0</v>
      </c>
      <c r="H31" s="17">
        <v>0</v>
      </c>
      <c r="I31" s="15">
        <v>0</v>
      </c>
      <c r="J31" s="17">
        <v>0</v>
      </c>
      <c r="K31" s="15">
        <v>0</v>
      </c>
      <c r="L31" s="17">
        <v>0</v>
      </c>
      <c r="M31" s="37">
        <f>M7*0.3</f>
        <v>120000</v>
      </c>
      <c r="N31" s="7" t="s">
        <v>61</v>
      </c>
      <c r="O31" s="9" t="s">
        <v>65</v>
      </c>
      <c r="P31" s="14"/>
      <c r="Q31" s="42"/>
    </row>
    <row r="32" spans="1:17" x14ac:dyDescent="0.25">
      <c r="A32" s="67" t="s">
        <v>63</v>
      </c>
      <c r="B32" t="s">
        <v>66</v>
      </c>
      <c r="C32" s="16">
        <v>0.5</v>
      </c>
      <c r="D32" s="18">
        <f>(P32*C32)/100/365*365</f>
        <v>25</v>
      </c>
      <c r="E32" s="16">
        <v>0.5</v>
      </c>
      <c r="F32" s="18">
        <f>(P32*E32)/100/365*365</f>
        <v>25</v>
      </c>
      <c r="G32" s="16">
        <v>0.5</v>
      </c>
      <c r="H32" s="18">
        <f>(P32*G32)/100/365*365</f>
        <v>25</v>
      </c>
      <c r="I32" s="16">
        <v>0.5</v>
      </c>
      <c r="J32" s="18">
        <f>(P32*I32)/100/365*365</f>
        <v>25</v>
      </c>
      <c r="K32" s="16">
        <v>0.5</v>
      </c>
      <c r="L32" s="18">
        <f>(P32*K32)/100/365*365</f>
        <v>25</v>
      </c>
      <c r="M32" s="39">
        <f>M31*0.7</f>
        <v>84000</v>
      </c>
      <c r="N32" t="s">
        <v>67</v>
      </c>
      <c r="O32" s="3" t="s">
        <v>68</v>
      </c>
      <c r="P32" s="34">
        <v>5000</v>
      </c>
      <c r="Q32" s="47" t="s">
        <v>105</v>
      </c>
    </row>
    <row r="33" spans="1:16" x14ac:dyDescent="0.25">
      <c r="A33" s="67" t="s">
        <v>63</v>
      </c>
      <c r="B33" s="7" t="s">
        <v>69</v>
      </c>
      <c r="C33" s="15">
        <v>0.8</v>
      </c>
      <c r="D33" s="17">
        <f>(P33*C33)/100/365*365</f>
        <v>0</v>
      </c>
      <c r="E33" s="15">
        <v>0.8</v>
      </c>
      <c r="F33" s="17">
        <f>(P33*E33)/100/365*365</f>
        <v>0</v>
      </c>
      <c r="G33" s="15">
        <v>0.8</v>
      </c>
      <c r="H33" s="17">
        <f>(P33*G33)/100/365*365</f>
        <v>0</v>
      </c>
      <c r="I33" s="15">
        <v>0.8</v>
      </c>
      <c r="J33" s="17">
        <f>(P33*I33)/100/365*365</f>
        <v>0</v>
      </c>
      <c r="K33" s="15">
        <v>0.8</v>
      </c>
      <c r="L33" s="17">
        <f>(P33*K33)/100/365*365</f>
        <v>0</v>
      </c>
      <c r="M33" s="41">
        <f>M31*0.15</f>
        <v>18000</v>
      </c>
      <c r="N33" s="7" t="s">
        <v>70</v>
      </c>
      <c r="O33" s="9" t="s">
        <v>68</v>
      </c>
      <c r="P33" s="33">
        <v>0</v>
      </c>
    </row>
    <row r="34" spans="1:16" x14ac:dyDescent="0.25">
      <c r="A34" s="67" t="s">
        <v>63</v>
      </c>
      <c r="B34" t="s">
        <v>71</v>
      </c>
      <c r="C34" s="16">
        <v>2.5</v>
      </c>
      <c r="D34" s="18">
        <f>(P34*C34)/100/365*365</f>
        <v>0</v>
      </c>
      <c r="E34" s="16">
        <v>2.5</v>
      </c>
      <c r="F34" s="18">
        <f>(P34*E34)/100/365*365</f>
        <v>0</v>
      </c>
      <c r="G34" s="16">
        <v>2.5</v>
      </c>
      <c r="H34" s="18">
        <f>(P34*G34)/100/365*365</f>
        <v>0</v>
      </c>
      <c r="I34" s="16">
        <v>2.5</v>
      </c>
      <c r="J34" s="18">
        <f>(P34*I34)/100/365*365</f>
        <v>0</v>
      </c>
      <c r="K34" s="16">
        <v>2.5</v>
      </c>
      <c r="L34" s="18">
        <f>(P34*K34)/100/365*365</f>
        <v>0</v>
      </c>
      <c r="M34" s="38">
        <v>4000</v>
      </c>
      <c r="N34" t="s">
        <v>72</v>
      </c>
      <c r="O34" s="3" t="s">
        <v>68</v>
      </c>
      <c r="P34" s="12">
        <v>0</v>
      </c>
    </row>
    <row r="35" spans="1:16" x14ac:dyDescent="0.25">
      <c r="A35" s="67" t="s">
        <v>63</v>
      </c>
      <c r="B35" s="7" t="s">
        <v>73</v>
      </c>
      <c r="C35" s="15">
        <v>0.8</v>
      </c>
      <c r="D35" s="17">
        <f>(P35*C35)/100/365*365</f>
        <v>0</v>
      </c>
      <c r="E35" s="15">
        <v>0.8</v>
      </c>
      <c r="F35" s="17">
        <f>(P35*E35)/100/365*365</f>
        <v>0</v>
      </c>
      <c r="G35" s="15">
        <v>0.8</v>
      </c>
      <c r="H35" s="17">
        <f>(P35*G35)/100/365*365</f>
        <v>0</v>
      </c>
      <c r="I35" s="15">
        <v>0.8</v>
      </c>
      <c r="J35" s="17">
        <f>(P35*I35)/100/365*365</f>
        <v>0</v>
      </c>
      <c r="K35" s="15">
        <v>0.8</v>
      </c>
      <c r="L35" s="17">
        <f>(P35*K35)/100/365*365</f>
        <v>0</v>
      </c>
      <c r="M35" s="41">
        <v>1000</v>
      </c>
      <c r="N35" s="7" t="s">
        <v>74</v>
      </c>
      <c r="O35" s="9" t="s">
        <v>68</v>
      </c>
      <c r="P35" s="11">
        <v>0</v>
      </c>
    </row>
    <row r="36" spans="1:16" x14ac:dyDescent="0.25">
      <c r="C36" s="16"/>
      <c r="D36" s="18"/>
      <c r="E36" s="16"/>
      <c r="F36" s="18"/>
      <c r="G36" s="16"/>
      <c r="H36" s="18"/>
      <c r="I36" s="16"/>
      <c r="J36" s="18"/>
      <c r="K36" s="16"/>
      <c r="L36" s="18"/>
      <c r="M36" s="40"/>
      <c r="O36" s="3"/>
      <c r="P36" s="1"/>
    </row>
    <row r="37" spans="1:16" x14ac:dyDescent="0.25">
      <c r="A37" s="67" t="s">
        <v>75</v>
      </c>
      <c r="B37" s="7" t="s">
        <v>76</v>
      </c>
      <c r="C37" s="15">
        <v>2</v>
      </c>
      <c r="D37" s="17">
        <f>(P37*C37)/1000/365*365</f>
        <v>0</v>
      </c>
      <c r="E37" s="15">
        <v>2</v>
      </c>
      <c r="F37" s="17">
        <f>(P37*E37)/1000/365*365</f>
        <v>0</v>
      </c>
      <c r="G37" s="15">
        <v>2</v>
      </c>
      <c r="H37" s="17">
        <f>(P37*G37)/1000/365*365</f>
        <v>0</v>
      </c>
      <c r="I37" s="15">
        <v>2</v>
      </c>
      <c r="J37" s="17">
        <f>(P37*I37)/1000/365*365</f>
        <v>0</v>
      </c>
      <c r="K37" s="15">
        <v>2</v>
      </c>
      <c r="L37" s="17">
        <f>(P37*K37)/1000/365*365</f>
        <v>0</v>
      </c>
      <c r="M37" s="37">
        <v>50000</v>
      </c>
      <c r="N37" s="7" t="s">
        <v>77</v>
      </c>
      <c r="O37" s="9" t="s">
        <v>78</v>
      </c>
      <c r="P37" s="33">
        <v>0</v>
      </c>
    </row>
    <row r="38" spans="1:16" x14ac:dyDescent="0.25">
      <c r="A38" s="67" t="s">
        <v>75</v>
      </c>
      <c r="B38" t="s">
        <v>79</v>
      </c>
      <c r="C38" s="16">
        <v>2</v>
      </c>
      <c r="D38" s="18">
        <f>(P38*C38)/100/365*365</f>
        <v>0</v>
      </c>
      <c r="E38" s="16">
        <v>2</v>
      </c>
      <c r="F38" s="18">
        <f>(P38*E38)/100/365*365</f>
        <v>0</v>
      </c>
      <c r="G38" s="16">
        <v>2</v>
      </c>
      <c r="H38" s="18">
        <f>(P38*G38)/100/365*365</f>
        <v>0</v>
      </c>
      <c r="I38" s="16">
        <v>2</v>
      </c>
      <c r="J38" s="18">
        <f>(P38*I38)/100/365*365</f>
        <v>0</v>
      </c>
      <c r="K38" s="16">
        <v>2</v>
      </c>
      <c r="L38" s="18">
        <f>(P38*K38)/100/365*365</f>
        <v>0</v>
      </c>
      <c r="M38" s="38">
        <v>25000</v>
      </c>
      <c r="N38" t="s">
        <v>80</v>
      </c>
      <c r="O38" s="3" t="s">
        <v>81</v>
      </c>
      <c r="P38" s="34">
        <v>0</v>
      </c>
    </row>
    <row r="39" spans="1:16" x14ac:dyDescent="0.25">
      <c r="C39" s="16"/>
      <c r="D39" s="57"/>
      <c r="E39" s="16"/>
      <c r="F39" s="57"/>
      <c r="G39" s="16"/>
      <c r="H39" s="57"/>
      <c r="I39" s="16"/>
      <c r="J39" s="57"/>
      <c r="K39" s="16"/>
      <c r="L39" s="57"/>
      <c r="O39" s="3"/>
    </row>
    <row r="40" spans="1:16" x14ac:dyDescent="0.25">
      <c r="A40" s="67" t="s">
        <v>82</v>
      </c>
      <c r="B40" s="7" t="s">
        <v>83</v>
      </c>
      <c r="C40" s="15">
        <v>0</v>
      </c>
      <c r="D40" s="17">
        <v>11</v>
      </c>
      <c r="E40" s="15">
        <v>0</v>
      </c>
      <c r="F40" s="17">
        <v>11</v>
      </c>
      <c r="G40" s="15">
        <v>0</v>
      </c>
      <c r="H40" s="17">
        <v>11</v>
      </c>
      <c r="I40" s="15">
        <v>0</v>
      </c>
      <c r="J40" s="17">
        <v>11</v>
      </c>
      <c r="K40" s="15">
        <v>0</v>
      </c>
      <c r="L40" s="17">
        <v>11</v>
      </c>
      <c r="M40" s="7"/>
      <c r="N40" s="7"/>
      <c r="O40" s="9"/>
      <c r="P40" s="11">
        <v>11</v>
      </c>
    </row>
    <row r="41" spans="1:16" ht="16.5" thickBot="1" x14ac:dyDescent="0.3">
      <c r="C41" s="35"/>
      <c r="E41" s="35"/>
      <c r="G41" s="35"/>
      <c r="H41" s="36"/>
      <c r="I41" s="35"/>
      <c r="K41" s="35"/>
    </row>
    <row r="42" spans="1:16" x14ac:dyDescent="0.25">
      <c r="A42" s="24"/>
      <c r="B42" s="25" t="s">
        <v>84</v>
      </c>
      <c r="C42" s="26"/>
      <c r="D42" s="31">
        <f>SUM(D2:D40)</f>
        <v>141.55000000000001</v>
      </c>
      <c r="E42" s="26"/>
      <c r="F42" s="31">
        <f>SUM(F2:F40)</f>
        <v>141.55000000000001</v>
      </c>
      <c r="G42" s="26"/>
      <c r="H42" s="31">
        <f>SUM(H2:H40)</f>
        <v>141.55000000000001</v>
      </c>
      <c r="I42" s="26"/>
      <c r="J42" s="31">
        <f>SUM(J2:J40)</f>
        <v>141.55000000000001</v>
      </c>
      <c r="K42" s="26"/>
      <c r="L42" s="31">
        <f>SUM(L2:L40)</f>
        <v>145.44999999999999</v>
      </c>
      <c r="O42" s="3"/>
    </row>
    <row r="43" spans="1:16" x14ac:dyDescent="0.25">
      <c r="A43" s="27"/>
      <c r="B43" s="22" t="s">
        <v>85</v>
      </c>
      <c r="C43" s="3"/>
      <c r="D43" s="20">
        <v>31</v>
      </c>
      <c r="E43" s="3"/>
      <c r="F43" s="20">
        <v>31</v>
      </c>
      <c r="G43" s="3"/>
      <c r="H43" s="20">
        <v>31</v>
      </c>
      <c r="I43" s="3"/>
      <c r="J43" s="20">
        <v>31</v>
      </c>
      <c r="K43" s="3"/>
      <c r="L43" s="20">
        <v>31</v>
      </c>
      <c r="O43" s="3"/>
    </row>
    <row r="44" spans="1:16" ht="16.5" thickBot="1" x14ac:dyDescent="0.3">
      <c r="A44" s="28"/>
      <c r="B44" s="23" t="s">
        <v>86</v>
      </c>
      <c r="C44" s="19"/>
      <c r="D44" s="21">
        <f>(D42+D43)*0.16</f>
        <v>27.608000000000004</v>
      </c>
      <c r="E44" s="19"/>
      <c r="F44" s="21">
        <f>(F42+F43)*0.16</f>
        <v>27.608000000000004</v>
      </c>
      <c r="G44" s="19"/>
      <c r="H44" s="21">
        <f>(H42+H43)*0.16</f>
        <v>27.608000000000004</v>
      </c>
      <c r="I44" s="19"/>
      <c r="J44" s="21">
        <f>(J42+J43)*0.16</f>
        <v>27.608000000000004</v>
      </c>
      <c r="K44" s="19"/>
      <c r="L44" s="21">
        <f>(L42+L43)*0.16</f>
        <v>28.231999999999999</v>
      </c>
      <c r="O44" s="3"/>
    </row>
    <row r="45" spans="1:16" x14ac:dyDescent="0.25">
      <c r="B45" s="22" t="s">
        <v>87</v>
      </c>
      <c r="C45" s="3"/>
      <c r="D45" s="48">
        <f>D42+D43+D44</f>
        <v>200.15800000000002</v>
      </c>
      <c r="E45" s="3"/>
      <c r="F45" s="48">
        <f>F42+F43+F44</f>
        <v>200.15800000000002</v>
      </c>
      <c r="G45" s="3"/>
      <c r="H45" s="48">
        <f>H42+H43+H44</f>
        <v>200.15800000000002</v>
      </c>
      <c r="I45" s="3"/>
      <c r="J45" s="48">
        <f>J42+J43+J44</f>
        <v>200.15800000000002</v>
      </c>
      <c r="K45" s="3"/>
      <c r="L45" s="48">
        <f>L42+L43+L44</f>
        <v>204.68199999999999</v>
      </c>
      <c r="O45" s="3"/>
    </row>
  </sheetData>
  <mergeCells count="6">
    <mergeCell ref="W3:W4"/>
    <mergeCell ref="R3:R4"/>
    <mergeCell ref="S3:S4"/>
    <mergeCell ref="T3:T4"/>
    <mergeCell ref="U3:U4"/>
    <mergeCell ref="V3:V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2997-6F03-D440-9714-44C86C3B48D6}">
  <dimension ref="A1:C10"/>
  <sheetViews>
    <sheetView zoomScale="150" zoomScaleNormal="150" workbookViewId="0">
      <selection activeCell="E10" sqref="E10"/>
    </sheetView>
  </sheetViews>
  <sheetFormatPr baseColWidth="10" defaultColWidth="11.25" defaultRowHeight="15.75" x14ac:dyDescent="0.25"/>
  <cols>
    <col min="2" max="2" width="14.375" bestFit="1" customWidth="1"/>
    <col min="3" max="3" width="18.625" bestFit="1" customWidth="1"/>
  </cols>
  <sheetData>
    <row r="1" spans="1:3" x14ac:dyDescent="0.25">
      <c r="A1" s="49" t="s">
        <v>109</v>
      </c>
    </row>
    <row r="3" spans="1:3" ht="16.5" thickBot="1" x14ac:dyDescent="0.3">
      <c r="B3" s="80" t="s">
        <v>110</v>
      </c>
      <c r="C3" s="80"/>
    </row>
    <row r="4" spans="1:3" x14ac:dyDescent="0.25">
      <c r="B4" s="50" t="s">
        <v>111</v>
      </c>
      <c r="C4" s="51" t="s">
        <v>112</v>
      </c>
    </row>
    <row r="5" spans="1:3" x14ac:dyDescent="0.25">
      <c r="B5" s="52" t="s">
        <v>113</v>
      </c>
      <c r="C5" s="53">
        <v>31</v>
      </c>
    </row>
    <row r="6" spans="1:3" x14ac:dyDescent="0.25">
      <c r="B6" s="52" t="s">
        <v>114</v>
      </c>
      <c r="C6" s="53">
        <v>66</v>
      </c>
    </row>
    <row r="7" spans="1:3" x14ac:dyDescent="0.25">
      <c r="B7" s="52" t="s">
        <v>115</v>
      </c>
      <c r="C7" s="53">
        <v>107</v>
      </c>
    </row>
    <row r="8" spans="1:3" x14ac:dyDescent="0.25">
      <c r="B8" s="52" t="s">
        <v>116</v>
      </c>
      <c r="C8" s="53">
        <v>160</v>
      </c>
    </row>
    <row r="9" spans="1:3" x14ac:dyDescent="0.25">
      <c r="B9" s="52" t="s">
        <v>117</v>
      </c>
      <c r="C9" s="53">
        <v>282</v>
      </c>
    </row>
    <row r="10" spans="1:3" ht="16.5" thickBot="1" x14ac:dyDescent="0.3">
      <c r="B10" s="54" t="s">
        <v>118</v>
      </c>
      <c r="C10" s="55">
        <v>767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130" zoomScaleNormal="130" zoomScalePageLayoutView="150" workbookViewId="0">
      <selection activeCell="E3" sqref="E3"/>
    </sheetView>
  </sheetViews>
  <sheetFormatPr baseColWidth="10" defaultColWidth="11" defaultRowHeight="15.75" x14ac:dyDescent="0.25"/>
  <sheetData>
    <row r="1" spans="1:6" x14ac:dyDescent="0.25">
      <c r="A1" s="81" t="s">
        <v>89</v>
      </c>
      <c r="B1" s="81"/>
      <c r="C1" s="81"/>
      <c r="D1" s="81"/>
      <c r="E1" s="81"/>
    </row>
    <row r="2" spans="1:6" x14ac:dyDescent="0.25">
      <c r="A2" s="32" t="s">
        <v>2</v>
      </c>
      <c r="B2" s="32" t="s">
        <v>4</v>
      </c>
      <c r="C2" s="32" t="s">
        <v>6</v>
      </c>
      <c r="D2" s="32" t="s">
        <v>8</v>
      </c>
      <c r="E2" s="32" t="s">
        <v>10</v>
      </c>
    </row>
    <row r="3" spans="1:6" x14ac:dyDescent="0.25">
      <c r="A3" s="3">
        <v>48335</v>
      </c>
      <c r="B3" s="3">
        <v>28300</v>
      </c>
      <c r="C3" s="3">
        <v>23600</v>
      </c>
      <c r="D3" s="3">
        <v>24900</v>
      </c>
      <c r="E3" s="3">
        <v>22860</v>
      </c>
    </row>
    <row r="6" spans="1:6" x14ac:dyDescent="0.25">
      <c r="A6" s="81" t="s">
        <v>90</v>
      </c>
      <c r="B6" s="81"/>
      <c r="C6" s="81"/>
      <c r="D6" s="81"/>
      <c r="E6" s="81"/>
    </row>
    <row r="7" spans="1:6" x14ac:dyDescent="0.25">
      <c r="A7" s="32">
        <v>1</v>
      </c>
      <c r="B7" s="32">
        <v>2</v>
      </c>
      <c r="C7" s="32">
        <v>3</v>
      </c>
    </row>
    <row r="8" spans="1:6" x14ac:dyDescent="0.25">
      <c r="A8" s="3">
        <v>20130</v>
      </c>
      <c r="B8" s="3">
        <v>22860</v>
      </c>
      <c r="C8" s="43" t="s">
        <v>91</v>
      </c>
    </row>
    <row r="11" spans="1:6" x14ac:dyDescent="0.25">
      <c r="A11" s="81" t="s">
        <v>92</v>
      </c>
      <c r="B11" s="81"/>
      <c r="C11" s="81"/>
      <c r="D11" s="81"/>
      <c r="E11" s="81"/>
    </row>
    <row r="12" spans="1:6" x14ac:dyDescent="0.25">
      <c r="A12" s="32" t="s">
        <v>93</v>
      </c>
      <c r="B12" s="32" t="s">
        <v>94</v>
      </c>
      <c r="C12" s="32" t="s">
        <v>95</v>
      </c>
      <c r="D12" s="32" t="s">
        <v>96</v>
      </c>
      <c r="E12" s="32" t="s">
        <v>97</v>
      </c>
      <c r="F12" s="32" t="s">
        <v>98</v>
      </c>
    </row>
    <row r="13" spans="1:6" x14ac:dyDescent="0.25">
      <c r="A13" s="44">
        <v>24902</v>
      </c>
      <c r="B13" s="44">
        <v>23010</v>
      </c>
      <c r="C13" s="44">
        <v>86930</v>
      </c>
      <c r="D13" s="44">
        <v>42153</v>
      </c>
      <c r="E13" s="44">
        <v>22840</v>
      </c>
      <c r="F13" s="44">
        <v>20110</v>
      </c>
    </row>
  </sheetData>
  <mergeCells count="3">
    <mergeCell ref="A1:E1"/>
    <mergeCell ref="A6:E6"/>
    <mergeCell ref="A11:E11"/>
  </mergeCells>
  <pageMargins left="0.7" right="0.7" top="0.75" bottom="0.75" header="0.3" footer="0.3"/>
  <ignoredErrors>
    <ignoredError sqref="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Body of water (Yes)</vt:lpstr>
      <vt:lpstr>Body of Water (No)</vt:lpstr>
      <vt:lpstr>Derechos de Póliza</vt:lpstr>
      <vt:lpstr>Codigos Postales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vpnrpa</cp:lastModifiedBy>
  <cp:revision/>
  <dcterms:created xsi:type="dcterms:W3CDTF">2017-07-03T19:35:35Z</dcterms:created>
  <dcterms:modified xsi:type="dcterms:W3CDTF">2023-01-26T17:56:21Z</dcterms:modified>
  <cp:category/>
  <cp:contentStatus/>
</cp:coreProperties>
</file>